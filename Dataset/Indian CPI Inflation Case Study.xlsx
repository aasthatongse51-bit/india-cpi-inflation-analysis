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LENOVO\OneDrive\Desktop\Coding Ninjas\Excel\Case Study\India CPI Inflation Case Study\"/>
    </mc:Choice>
  </mc:AlternateContent>
  <xr:revisionPtr revIDLastSave="0" documentId="13_ncr:1_{B5866511-07C0-428D-9548-DFFC136C7B7A}" xr6:coauthVersionLast="47" xr6:coauthVersionMax="47" xr10:uidLastSave="{00000000-0000-0000-0000-000000000000}"/>
  <bookViews>
    <workbookView minimized="1" xWindow="10356" yWindow="6936" windowWidth="13380" windowHeight="6000" firstSheet="8" activeTab="12" xr2:uid="{B9FD0FA6-CF17-4FCF-A7E6-E0D2E938FE54}"/>
  </bookViews>
  <sheets>
    <sheet name="Raw Data " sheetId="1" r:id="rId1"/>
    <sheet name="Data Cleaning" sheetId="3" r:id="rId2"/>
    <sheet name="Data for R+U" sheetId="2" r:id="rId3"/>
    <sheet name=" Broder Category Data " sheetId="4" r:id="rId4"/>
    <sheet name="Question 1" sheetId="5" r:id="rId5"/>
    <sheet name="Question 2" sheetId="11" r:id="rId6"/>
    <sheet name="Question 3(A)" sheetId="12" r:id="rId7"/>
    <sheet name="Question 3(B)" sheetId="13" r:id="rId8"/>
    <sheet name="Question 4 (Data)" sheetId="9" r:id="rId9"/>
    <sheet name="Question 4 Solution" sheetId="10" r:id="rId10"/>
    <sheet name="Question 5 (Data)" sheetId="18" r:id="rId11"/>
    <sheet name="Question 5 Solution" sheetId="19" r:id="rId12"/>
    <sheet name="DashBoard" sheetId="20" r:id="rId13"/>
  </sheets>
  <definedNames>
    <definedName name="_xlnm._FilterDatabase" localSheetId="3" hidden="1">' Broder Category Data '!$E$3:$S$127</definedName>
    <definedName name="_xlnm._FilterDatabase" localSheetId="2" hidden="1">'Data for R+U'!$A$1:$AF$125</definedName>
    <definedName name="_xlnm._FilterDatabase" localSheetId="6" hidden="1">'Question 3(A)'!#REF!</definedName>
    <definedName name="_xlnm._FilterDatabase" localSheetId="9" hidden="1">'Question 4 Solution'!$A$3:$E$115</definedName>
    <definedName name="_xlnm._FilterDatabase" localSheetId="0" hidden="1">'Raw Data '!$A$1:$AD$373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7" i="19" l="1"/>
  <c r="D37" i="19"/>
  <c r="E37" i="19"/>
  <c r="F37" i="19"/>
  <c r="G37" i="19"/>
  <c r="H37" i="19"/>
  <c r="I37" i="19"/>
  <c r="J37" i="19"/>
  <c r="K37" i="19"/>
  <c r="L37" i="19"/>
  <c r="M37" i="19"/>
  <c r="N37" i="19"/>
  <c r="O37" i="19"/>
  <c r="P37" i="19"/>
  <c r="Q37" i="19"/>
  <c r="R37" i="19"/>
  <c r="S37" i="19"/>
  <c r="T37" i="19"/>
  <c r="U37" i="19"/>
  <c r="V37" i="19"/>
  <c r="W37" i="19"/>
  <c r="X37" i="19"/>
  <c r="Y37" i="19"/>
  <c r="Z37" i="19"/>
  <c r="AA37" i="19"/>
  <c r="AB37" i="19"/>
  <c r="B37" i="19"/>
  <c r="D5" i="19"/>
  <c r="E5" i="19"/>
  <c r="F5" i="19"/>
  <c r="G5" i="19"/>
  <c r="H5" i="19"/>
  <c r="I5" i="19"/>
  <c r="J5" i="19"/>
  <c r="K5" i="19"/>
  <c r="L5" i="19"/>
  <c r="M5" i="19"/>
  <c r="N5" i="19"/>
  <c r="O5" i="19"/>
  <c r="P5" i="19"/>
  <c r="Q5" i="19"/>
  <c r="R5" i="19"/>
  <c r="S5" i="19"/>
  <c r="T5" i="19"/>
  <c r="U5" i="19"/>
  <c r="V5" i="19"/>
  <c r="W5" i="19"/>
  <c r="X5" i="19"/>
  <c r="Y5" i="19"/>
  <c r="Z5" i="19"/>
  <c r="AA5" i="19"/>
  <c r="AB5" i="19"/>
  <c r="AC5" i="19"/>
  <c r="AD5" i="19"/>
  <c r="D6" i="19"/>
  <c r="E6" i="19"/>
  <c r="F6" i="19"/>
  <c r="G6" i="19"/>
  <c r="H6" i="19"/>
  <c r="I6" i="19"/>
  <c r="J6" i="19"/>
  <c r="K6" i="19"/>
  <c r="L6" i="19"/>
  <c r="M6" i="19"/>
  <c r="N6" i="19"/>
  <c r="O6" i="19"/>
  <c r="P6" i="19"/>
  <c r="Q6" i="19"/>
  <c r="R6" i="19"/>
  <c r="S6" i="19"/>
  <c r="T6" i="19"/>
  <c r="U6" i="19"/>
  <c r="V6" i="19"/>
  <c r="W6" i="19"/>
  <c r="X6" i="19"/>
  <c r="Y6" i="19"/>
  <c r="Z6" i="19"/>
  <c r="AA6" i="19"/>
  <c r="AB6" i="19"/>
  <c r="AC6" i="19"/>
  <c r="AD6" i="19"/>
  <c r="D7" i="19"/>
  <c r="E7" i="19"/>
  <c r="F7" i="19"/>
  <c r="G7" i="19"/>
  <c r="H7" i="19"/>
  <c r="I7" i="19"/>
  <c r="J7" i="19"/>
  <c r="K7" i="19"/>
  <c r="L7" i="19"/>
  <c r="M7" i="19"/>
  <c r="N7" i="19"/>
  <c r="O7" i="19"/>
  <c r="P7" i="19"/>
  <c r="Q7" i="19"/>
  <c r="R7" i="19"/>
  <c r="S7" i="19"/>
  <c r="T7" i="19"/>
  <c r="U7" i="19"/>
  <c r="V7" i="19"/>
  <c r="W7" i="19"/>
  <c r="X7" i="19"/>
  <c r="Y7" i="19"/>
  <c r="Z7" i="19"/>
  <c r="AA7" i="19"/>
  <c r="AB7" i="19"/>
  <c r="AC7" i="19"/>
  <c r="AD7" i="19"/>
  <c r="D8" i="19"/>
  <c r="E8" i="19"/>
  <c r="F8" i="19"/>
  <c r="G8" i="19"/>
  <c r="H8" i="19"/>
  <c r="I8" i="19"/>
  <c r="J8" i="19"/>
  <c r="K8" i="19"/>
  <c r="L8" i="19"/>
  <c r="M8" i="19"/>
  <c r="N8" i="19"/>
  <c r="O8" i="19"/>
  <c r="P8" i="19"/>
  <c r="Q8" i="19"/>
  <c r="R8" i="19"/>
  <c r="S8" i="19"/>
  <c r="T8" i="19"/>
  <c r="U8" i="19"/>
  <c r="V8" i="19"/>
  <c r="W8" i="19"/>
  <c r="X8" i="19"/>
  <c r="Y8" i="19"/>
  <c r="Z8" i="19"/>
  <c r="AA8" i="19"/>
  <c r="AB8" i="19"/>
  <c r="AC8" i="19"/>
  <c r="AD8" i="19"/>
  <c r="D9" i="19"/>
  <c r="E9" i="19"/>
  <c r="F9" i="19"/>
  <c r="G9" i="19"/>
  <c r="H9" i="19"/>
  <c r="I9" i="19"/>
  <c r="J9" i="19"/>
  <c r="K9" i="19"/>
  <c r="L9" i="19"/>
  <c r="M9" i="19"/>
  <c r="N9" i="19"/>
  <c r="O9" i="19"/>
  <c r="P9" i="19"/>
  <c r="Q9" i="19"/>
  <c r="R9" i="19"/>
  <c r="S9" i="19"/>
  <c r="T9" i="19"/>
  <c r="U9" i="19"/>
  <c r="V9" i="19"/>
  <c r="W9" i="19"/>
  <c r="X9" i="19"/>
  <c r="Y9" i="19"/>
  <c r="Z9" i="19"/>
  <c r="AA9" i="19"/>
  <c r="AB9" i="19"/>
  <c r="AC9" i="19"/>
  <c r="AD9" i="19"/>
  <c r="D10" i="19"/>
  <c r="E10" i="19"/>
  <c r="F10" i="19"/>
  <c r="G10" i="19"/>
  <c r="H10" i="19"/>
  <c r="I10" i="19"/>
  <c r="J10" i="19"/>
  <c r="K10" i="19"/>
  <c r="L10" i="19"/>
  <c r="M10" i="19"/>
  <c r="N10" i="19"/>
  <c r="O10" i="19"/>
  <c r="P10" i="19"/>
  <c r="Q10" i="19"/>
  <c r="R10" i="19"/>
  <c r="S10" i="19"/>
  <c r="T10" i="19"/>
  <c r="U10" i="19"/>
  <c r="V10" i="19"/>
  <c r="W10" i="19"/>
  <c r="X10" i="19"/>
  <c r="Y10" i="19"/>
  <c r="Z10" i="19"/>
  <c r="AA10" i="19"/>
  <c r="AB10" i="19"/>
  <c r="AC10" i="19"/>
  <c r="AD10" i="19"/>
  <c r="D11" i="19"/>
  <c r="E11" i="19"/>
  <c r="F11" i="19"/>
  <c r="G11" i="19"/>
  <c r="H11" i="19"/>
  <c r="I11" i="19"/>
  <c r="J11" i="19"/>
  <c r="K11" i="19"/>
  <c r="L11" i="19"/>
  <c r="M11" i="19"/>
  <c r="N11" i="19"/>
  <c r="O11" i="19"/>
  <c r="P11" i="19"/>
  <c r="Q11" i="19"/>
  <c r="R11" i="19"/>
  <c r="S11" i="19"/>
  <c r="T11" i="19"/>
  <c r="U11" i="19"/>
  <c r="V11" i="19"/>
  <c r="W11" i="19"/>
  <c r="X11" i="19"/>
  <c r="Y11" i="19"/>
  <c r="Z11" i="19"/>
  <c r="AA11" i="19"/>
  <c r="AB11" i="19"/>
  <c r="AC11" i="19"/>
  <c r="AD11" i="19"/>
  <c r="D12" i="19"/>
  <c r="E12" i="19"/>
  <c r="F12" i="19"/>
  <c r="G12" i="19"/>
  <c r="H12" i="19"/>
  <c r="I12" i="19"/>
  <c r="J12" i="19"/>
  <c r="K12" i="19"/>
  <c r="L12" i="19"/>
  <c r="M12" i="19"/>
  <c r="N12" i="19"/>
  <c r="O12" i="19"/>
  <c r="P12" i="19"/>
  <c r="Q12" i="19"/>
  <c r="R12" i="19"/>
  <c r="S12" i="19"/>
  <c r="T12" i="19"/>
  <c r="U12" i="19"/>
  <c r="V12" i="19"/>
  <c r="W12" i="19"/>
  <c r="X12" i="19"/>
  <c r="Y12" i="19"/>
  <c r="Z12" i="19"/>
  <c r="AA12" i="19"/>
  <c r="AB12" i="19"/>
  <c r="AC12" i="19"/>
  <c r="AD12" i="19"/>
  <c r="D13" i="19"/>
  <c r="E13" i="19"/>
  <c r="F13" i="19"/>
  <c r="G13" i="19"/>
  <c r="H13" i="19"/>
  <c r="I13" i="19"/>
  <c r="J13" i="19"/>
  <c r="K13" i="19"/>
  <c r="L13" i="19"/>
  <c r="M13" i="19"/>
  <c r="N13" i="19"/>
  <c r="O13" i="19"/>
  <c r="P13" i="19"/>
  <c r="Q13" i="19"/>
  <c r="R13" i="19"/>
  <c r="S13" i="19"/>
  <c r="T13" i="19"/>
  <c r="U13" i="19"/>
  <c r="V13" i="19"/>
  <c r="W13" i="19"/>
  <c r="X13" i="19"/>
  <c r="Y13" i="19"/>
  <c r="Z13" i="19"/>
  <c r="AA13" i="19"/>
  <c r="AB13" i="19"/>
  <c r="AC13" i="19"/>
  <c r="AD13"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D15" i="19"/>
  <c r="E15" i="19"/>
  <c r="F15" i="19"/>
  <c r="G15" i="19"/>
  <c r="H15" i="19"/>
  <c r="I15" i="19"/>
  <c r="J15" i="19"/>
  <c r="K15" i="19"/>
  <c r="L15" i="19"/>
  <c r="M15" i="19"/>
  <c r="N15" i="19"/>
  <c r="O15" i="19"/>
  <c r="P15" i="19"/>
  <c r="Q15" i="19"/>
  <c r="R15" i="19"/>
  <c r="S15" i="19"/>
  <c r="T15" i="19"/>
  <c r="U15" i="19"/>
  <c r="V15" i="19"/>
  <c r="W15" i="19"/>
  <c r="X15" i="19"/>
  <c r="Y15" i="19"/>
  <c r="Z15" i="19"/>
  <c r="AA15" i="19"/>
  <c r="AB15" i="19"/>
  <c r="AC15" i="19"/>
  <c r="AD15" i="19"/>
  <c r="D16" i="19"/>
  <c r="E16" i="19"/>
  <c r="F16" i="19"/>
  <c r="G16" i="19"/>
  <c r="H16" i="19"/>
  <c r="I16" i="19"/>
  <c r="J16" i="19"/>
  <c r="K16" i="19"/>
  <c r="L16" i="19"/>
  <c r="M16" i="19"/>
  <c r="N16" i="19"/>
  <c r="O16" i="19"/>
  <c r="P16" i="19"/>
  <c r="Q16" i="19"/>
  <c r="R16" i="19"/>
  <c r="S16" i="19"/>
  <c r="T16" i="19"/>
  <c r="U16" i="19"/>
  <c r="V16" i="19"/>
  <c r="W16" i="19"/>
  <c r="X16" i="19"/>
  <c r="Y16" i="19"/>
  <c r="Z16" i="19"/>
  <c r="AA16" i="19"/>
  <c r="AB16" i="19"/>
  <c r="AC16" i="19"/>
  <c r="AD16" i="19"/>
  <c r="D17" i="19"/>
  <c r="E17" i="19"/>
  <c r="F17" i="19"/>
  <c r="G17" i="19"/>
  <c r="H17" i="19"/>
  <c r="I17" i="19"/>
  <c r="J17" i="19"/>
  <c r="K17" i="19"/>
  <c r="L17" i="19"/>
  <c r="M17" i="19"/>
  <c r="N17" i="19"/>
  <c r="O17" i="19"/>
  <c r="P17" i="19"/>
  <c r="Q17" i="19"/>
  <c r="R17" i="19"/>
  <c r="S17" i="19"/>
  <c r="T17" i="19"/>
  <c r="U17" i="19"/>
  <c r="V17" i="19"/>
  <c r="W17" i="19"/>
  <c r="X17" i="19"/>
  <c r="Y17" i="19"/>
  <c r="Z17" i="19"/>
  <c r="AA17" i="19"/>
  <c r="AB17" i="19"/>
  <c r="AC17" i="19"/>
  <c r="AD17" i="19"/>
  <c r="D18" i="19"/>
  <c r="E18" i="19"/>
  <c r="F18" i="19"/>
  <c r="G18" i="19"/>
  <c r="H18" i="19"/>
  <c r="I18" i="19"/>
  <c r="J18" i="19"/>
  <c r="K18" i="19"/>
  <c r="L18" i="19"/>
  <c r="M18" i="19"/>
  <c r="N18" i="19"/>
  <c r="O18" i="19"/>
  <c r="P18" i="19"/>
  <c r="Q18" i="19"/>
  <c r="R18" i="19"/>
  <c r="S18" i="19"/>
  <c r="T18" i="19"/>
  <c r="U18" i="19"/>
  <c r="V18" i="19"/>
  <c r="W18" i="19"/>
  <c r="X18" i="19"/>
  <c r="Y18" i="19"/>
  <c r="Z18" i="19"/>
  <c r="AA18" i="19"/>
  <c r="AB18" i="19"/>
  <c r="AC18" i="19"/>
  <c r="AD18" i="19"/>
  <c r="D19" i="19"/>
  <c r="E19" i="19"/>
  <c r="F19" i="19"/>
  <c r="G19" i="19"/>
  <c r="H19" i="19"/>
  <c r="I19" i="19"/>
  <c r="J19" i="19"/>
  <c r="K19" i="19"/>
  <c r="L19" i="19"/>
  <c r="M19" i="19"/>
  <c r="N19" i="19"/>
  <c r="O19" i="19"/>
  <c r="P19" i="19"/>
  <c r="Q19" i="19"/>
  <c r="R19" i="19"/>
  <c r="S19" i="19"/>
  <c r="T19" i="19"/>
  <c r="U19" i="19"/>
  <c r="V19" i="19"/>
  <c r="W19" i="19"/>
  <c r="X19" i="19"/>
  <c r="Y19" i="19"/>
  <c r="Z19" i="19"/>
  <c r="AA19" i="19"/>
  <c r="AB19" i="19"/>
  <c r="AC19" i="19"/>
  <c r="AD19" i="19"/>
  <c r="D20" i="19"/>
  <c r="E20" i="19"/>
  <c r="F20" i="19"/>
  <c r="G20" i="19"/>
  <c r="H20" i="19"/>
  <c r="I20" i="19"/>
  <c r="J20" i="19"/>
  <c r="K20" i="19"/>
  <c r="L20" i="19"/>
  <c r="M20" i="19"/>
  <c r="N20" i="19"/>
  <c r="O20" i="19"/>
  <c r="P20" i="19"/>
  <c r="Q20" i="19"/>
  <c r="R20" i="19"/>
  <c r="S20" i="19"/>
  <c r="T20" i="19"/>
  <c r="U20" i="19"/>
  <c r="V20" i="19"/>
  <c r="W20" i="19"/>
  <c r="X20" i="19"/>
  <c r="Y20" i="19"/>
  <c r="Z20" i="19"/>
  <c r="AA20" i="19"/>
  <c r="AB20" i="19"/>
  <c r="AC20" i="19"/>
  <c r="AD20" i="19"/>
  <c r="D21" i="19"/>
  <c r="E21" i="19"/>
  <c r="F21" i="19"/>
  <c r="G21" i="19"/>
  <c r="H21" i="19"/>
  <c r="I21" i="19"/>
  <c r="J21" i="19"/>
  <c r="K21" i="19"/>
  <c r="L21" i="19"/>
  <c r="M21" i="19"/>
  <c r="N21" i="19"/>
  <c r="O21" i="19"/>
  <c r="P21" i="19"/>
  <c r="Q21" i="19"/>
  <c r="R21" i="19"/>
  <c r="S21" i="19"/>
  <c r="T21" i="19"/>
  <c r="U21" i="19"/>
  <c r="V21" i="19"/>
  <c r="W21" i="19"/>
  <c r="X21" i="19"/>
  <c r="Y21" i="19"/>
  <c r="Z21" i="19"/>
  <c r="AA21" i="19"/>
  <c r="AB21" i="19"/>
  <c r="AC21" i="19"/>
  <c r="AD21" i="19"/>
  <c r="D22" i="19"/>
  <c r="E22" i="19"/>
  <c r="F22" i="19"/>
  <c r="G22" i="19"/>
  <c r="H22" i="19"/>
  <c r="I22" i="19"/>
  <c r="J22" i="19"/>
  <c r="K22" i="19"/>
  <c r="L22" i="19"/>
  <c r="M22" i="19"/>
  <c r="N22" i="19"/>
  <c r="O22" i="19"/>
  <c r="P22" i="19"/>
  <c r="Q22" i="19"/>
  <c r="R22" i="19"/>
  <c r="S22" i="19"/>
  <c r="T22" i="19"/>
  <c r="U22" i="19"/>
  <c r="V22" i="19"/>
  <c r="W22" i="19"/>
  <c r="X22" i="19"/>
  <c r="Y22" i="19"/>
  <c r="Z22" i="19"/>
  <c r="AA22" i="19"/>
  <c r="AB22" i="19"/>
  <c r="AC22" i="19"/>
  <c r="AD22" i="19"/>
  <c r="D23" i="19"/>
  <c r="E23" i="19"/>
  <c r="F23" i="19"/>
  <c r="G23" i="19"/>
  <c r="H23" i="19"/>
  <c r="I23" i="19"/>
  <c r="J23" i="19"/>
  <c r="K23" i="19"/>
  <c r="L23" i="19"/>
  <c r="M23" i="19"/>
  <c r="N23" i="19"/>
  <c r="O23" i="19"/>
  <c r="P23" i="19"/>
  <c r="Q23" i="19"/>
  <c r="R23" i="19"/>
  <c r="S23" i="19"/>
  <c r="T23" i="19"/>
  <c r="U23" i="19"/>
  <c r="V23" i="19"/>
  <c r="W23" i="19"/>
  <c r="X23" i="19"/>
  <c r="Y23" i="19"/>
  <c r="Z23" i="19"/>
  <c r="AA23" i="19"/>
  <c r="AB23" i="19"/>
  <c r="AC23" i="19"/>
  <c r="AD23" i="19"/>
  <c r="D24" i="19"/>
  <c r="E24" i="19"/>
  <c r="F24" i="19"/>
  <c r="G24" i="19"/>
  <c r="H24" i="19"/>
  <c r="I24" i="19"/>
  <c r="J24" i="19"/>
  <c r="K24" i="19"/>
  <c r="L24" i="19"/>
  <c r="M24" i="19"/>
  <c r="N24" i="19"/>
  <c r="O24" i="19"/>
  <c r="P24" i="19"/>
  <c r="Q24" i="19"/>
  <c r="R24" i="19"/>
  <c r="S24" i="19"/>
  <c r="T24" i="19"/>
  <c r="U24" i="19"/>
  <c r="V24" i="19"/>
  <c r="W24" i="19"/>
  <c r="X24" i="19"/>
  <c r="Y24" i="19"/>
  <c r="Z24" i="19"/>
  <c r="AA24" i="19"/>
  <c r="AB24" i="19"/>
  <c r="AC24" i="19"/>
  <c r="AD24" i="19"/>
  <c r="D25" i="19"/>
  <c r="E25" i="19"/>
  <c r="F25" i="19"/>
  <c r="G25" i="19"/>
  <c r="H25" i="19"/>
  <c r="I25" i="19"/>
  <c r="J25" i="19"/>
  <c r="K25" i="19"/>
  <c r="L25" i="19"/>
  <c r="M25" i="19"/>
  <c r="N25" i="19"/>
  <c r="O25" i="19"/>
  <c r="P25" i="19"/>
  <c r="Q25" i="19"/>
  <c r="R25" i="19"/>
  <c r="S25" i="19"/>
  <c r="T25" i="19"/>
  <c r="U25" i="19"/>
  <c r="V25" i="19"/>
  <c r="W25" i="19"/>
  <c r="X25" i="19"/>
  <c r="Y25" i="19"/>
  <c r="Z25" i="19"/>
  <c r="AA25" i="19"/>
  <c r="AB25" i="19"/>
  <c r="AC25" i="19"/>
  <c r="AD25" i="19"/>
  <c r="D26" i="19"/>
  <c r="E26" i="19"/>
  <c r="F26" i="19"/>
  <c r="G26" i="19"/>
  <c r="H26" i="19"/>
  <c r="I26" i="19"/>
  <c r="J26" i="19"/>
  <c r="K26" i="19"/>
  <c r="L26" i="19"/>
  <c r="M26" i="19"/>
  <c r="N26" i="19"/>
  <c r="O26" i="19"/>
  <c r="P26" i="19"/>
  <c r="Q26" i="19"/>
  <c r="R26" i="19"/>
  <c r="S26" i="19"/>
  <c r="T26" i="19"/>
  <c r="U26" i="19"/>
  <c r="V26" i="19"/>
  <c r="W26" i="19"/>
  <c r="X26" i="19"/>
  <c r="Y26" i="19"/>
  <c r="Z26" i="19"/>
  <c r="AA26" i="19"/>
  <c r="AB26" i="19"/>
  <c r="AC26" i="19"/>
  <c r="AD26" i="19"/>
  <c r="D27" i="19"/>
  <c r="E27" i="19"/>
  <c r="F27" i="19"/>
  <c r="G27" i="19"/>
  <c r="H27" i="19"/>
  <c r="I27" i="19"/>
  <c r="J27" i="19"/>
  <c r="K27" i="19"/>
  <c r="L27" i="19"/>
  <c r="M27" i="19"/>
  <c r="N27" i="19"/>
  <c r="O27" i="19"/>
  <c r="P27" i="19"/>
  <c r="Q27" i="19"/>
  <c r="R27" i="19"/>
  <c r="S27" i="19"/>
  <c r="T27" i="19"/>
  <c r="U27" i="19"/>
  <c r="V27" i="19"/>
  <c r="W27" i="19"/>
  <c r="X27" i="19"/>
  <c r="Y27" i="19"/>
  <c r="Z27" i="19"/>
  <c r="AA27" i="19"/>
  <c r="AB27" i="19"/>
  <c r="AC27" i="19"/>
  <c r="AD27" i="19"/>
  <c r="D28" i="19"/>
  <c r="E28" i="19"/>
  <c r="F28" i="19"/>
  <c r="G28" i="19"/>
  <c r="H28" i="19"/>
  <c r="I28" i="19"/>
  <c r="J28" i="19"/>
  <c r="K28" i="19"/>
  <c r="L28" i="19"/>
  <c r="M28" i="19"/>
  <c r="N28" i="19"/>
  <c r="O28" i="19"/>
  <c r="P28" i="19"/>
  <c r="Q28" i="19"/>
  <c r="R28" i="19"/>
  <c r="S28" i="19"/>
  <c r="T28" i="19"/>
  <c r="U28" i="19"/>
  <c r="V28" i="19"/>
  <c r="W28" i="19"/>
  <c r="X28" i="19"/>
  <c r="Y28" i="19"/>
  <c r="Z28" i="19"/>
  <c r="AA28" i="19"/>
  <c r="AB28" i="19"/>
  <c r="AC28" i="19"/>
  <c r="AD28" i="19"/>
  <c r="D29" i="19"/>
  <c r="E29" i="19"/>
  <c r="F29" i="19"/>
  <c r="G29" i="19"/>
  <c r="H29" i="19"/>
  <c r="I29" i="19"/>
  <c r="J29" i="19"/>
  <c r="K29" i="19"/>
  <c r="L29" i="19"/>
  <c r="M29" i="19"/>
  <c r="N29" i="19"/>
  <c r="O29" i="19"/>
  <c r="P29" i="19"/>
  <c r="Q29" i="19"/>
  <c r="R29" i="19"/>
  <c r="S29" i="19"/>
  <c r="T29" i="19"/>
  <c r="U29" i="19"/>
  <c r="V29" i="19"/>
  <c r="W29" i="19"/>
  <c r="X29" i="19"/>
  <c r="Y29" i="19"/>
  <c r="Z29" i="19"/>
  <c r="AA29" i="19"/>
  <c r="AB29" i="19"/>
  <c r="AC29" i="19"/>
  <c r="AD29" i="19"/>
  <c r="D30" i="19"/>
  <c r="E30" i="19"/>
  <c r="F30" i="19"/>
  <c r="G30" i="19"/>
  <c r="H30" i="19"/>
  <c r="I30" i="19"/>
  <c r="J30" i="19"/>
  <c r="K30" i="19"/>
  <c r="L30" i="19"/>
  <c r="M30" i="19"/>
  <c r="N30" i="19"/>
  <c r="O30" i="19"/>
  <c r="P30" i="19"/>
  <c r="Q30" i="19"/>
  <c r="R30" i="19"/>
  <c r="S30" i="19"/>
  <c r="T30" i="19"/>
  <c r="U30" i="19"/>
  <c r="V30" i="19"/>
  <c r="W30" i="19"/>
  <c r="X30" i="19"/>
  <c r="Y30" i="19"/>
  <c r="Z30" i="19"/>
  <c r="AA30" i="19"/>
  <c r="AB30" i="19"/>
  <c r="AC30" i="19"/>
  <c r="AD30" i="19"/>
  <c r="D31" i="19"/>
  <c r="E31" i="19"/>
  <c r="F31" i="19"/>
  <c r="G31" i="19"/>
  <c r="H31" i="19"/>
  <c r="I31" i="19"/>
  <c r="J31" i="19"/>
  <c r="K31" i="19"/>
  <c r="L31" i="19"/>
  <c r="M31" i="19"/>
  <c r="N31" i="19"/>
  <c r="O31" i="19"/>
  <c r="P31" i="19"/>
  <c r="Q31" i="19"/>
  <c r="R31" i="19"/>
  <c r="S31" i="19"/>
  <c r="T31" i="19"/>
  <c r="U31" i="19"/>
  <c r="V31" i="19"/>
  <c r="W31" i="19"/>
  <c r="X31" i="19"/>
  <c r="Y31" i="19"/>
  <c r="Z31" i="19"/>
  <c r="AA31" i="19"/>
  <c r="AB31" i="19"/>
  <c r="AC31" i="19"/>
  <c r="AD31" i="19"/>
  <c r="D32" i="19"/>
  <c r="E32" i="19"/>
  <c r="F32" i="19"/>
  <c r="G32" i="19"/>
  <c r="H32" i="19"/>
  <c r="I32" i="19"/>
  <c r="J32" i="19"/>
  <c r="K32" i="19"/>
  <c r="L32" i="19"/>
  <c r="M32" i="19"/>
  <c r="N32" i="19"/>
  <c r="O32" i="19"/>
  <c r="P32" i="19"/>
  <c r="Q32" i="19"/>
  <c r="R32" i="19"/>
  <c r="S32" i="19"/>
  <c r="T32" i="19"/>
  <c r="U32" i="19"/>
  <c r="V32" i="19"/>
  <c r="W32" i="19"/>
  <c r="X32" i="19"/>
  <c r="Y32" i="19"/>
  <c r="Z32" i="19"/>
  <c r="AA32" i="19"/>
  <c r="AB32" i="19"/>
  <c r="AC32" i="19"/>
  <c r="AD32"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5" i="19"/>
  <c r="B18" i="5" l="1"/>
  <c r="C18" i="5" s="1"/>
  <c r="C10" i="5"/>
  <c r="C11" i="5"/>
  <c r="C12" i="5"/>
  <c r="C13" i="5"/>
  <c r="C14" i="5"/>
  <c r="C15" i="5"/>
  <c r="C16" i="5"/>
  <c r="C17" i="5"/>
  <c r="C9" i="5"/>
  <c r="B17" i="5"/>
  <c r="B11" i="5"/>
  <c r="B9" i="5"/>
  <c r="M6" i="13"/>
  <c r="L6" i="13"/>
  <c r="K6" i="13"/>
  <c r="J6" i="13"/>
  <c r="I6" i="13"/>
  <c r="H6" i="13"/>
  <c r="G6" i="13"/>
  <c r="F6" i="13"/>
  <c r="E6" i="13"/>
  <c r="D6" i="13"/>
  <c r="C6" i="13"/>
  <c r="B6" i="13"/>
  <c r="G15" i="12"/>
  <c r="E15" i="12"/>
  <c r="G14" i="12"/>
  <c r="E14" i="12"/>
  <c r="G13" i="12"/>
  <c r="E13" i="12"/>
  <c r="G12" i="12"/>
  <c r="E12" i="12"/>
  <c r="G11" i="12"/>
  <c r="E11" i="12"/>
  <c r="G10" i="12"/>
  <c r="E10" i="12"/>
  <c r="G9" i="12"/>
  <c r="E9" i="12"/>
  <c r="G8" i="12"/>
  <c r="E8" i="12"/>
  <c r="G7" i="12"/>
  <c r="E7" i="12"/>
  <c r="G6" i="12"/>
  <c r="E6" i="12"/>
  <c r="G5" i="12"/>
  <c r="E5" i="12"/>
  <c r="E4" i="12"/>
  <c r="L4" i="11"/>
  <c r="L5" i="11"/>
  <c r="L6" i="11"/>
  <c r="L7" i="11"/>
  <c r="L8" i="11"/>
  <c r="L3" i="11"/>
  <c r="K3" i="11"/>
  <c r="K4" i="11"/>
  <c r="K5" i="11"/>
  <c r="K6" i="11"/>
  <c r="K7" i="11"/>
  <c r="K8" i="11"/>
  <c r="K2" i="11"/>
  <c r="F4" i="10" l="1"/>
  <c r="M12" i="10" s="1"/>
  <c r="H4" i="10"/>
  <c r="O12" i="10" s="1"/>
  <c r="F5" i="10"/>
  <c r="H5" i="10"/>
  <c r="F6" i="10"/>
  <c r="H6" i="10"/>
  <c r="F7" i="10"/>
  <c r="H7" i="10"/>
  <c r="F8" i="10"/>
  <c r="H8" i="10"/>
  <c r="F9" i="10"/>
  <c r="H9" i="10"/>
  <c r="F10" i="10"/>
  <c r="H10" i="10"/>
  <c r="F11" i="10"/>
  <c r="H11" i="10"/>
  <c r="F12" i="10"/>
  <c r="H12" i="10"/>
  <c r="F13" i="10"/>
  <c r="H13" i="10"/>
  <c r="F14" i="10"/>
  <c r="H14" i="10"/>
  <c r="F15" i="10"/>
  <c r="H15" i="10"/>
  <c r="F16" i="10"/>
  <c r="M13" i="10" s="1"/>
  <c r="H16" i="10"/>
  <c r="O13" i="10" s="1"/>
  <c r="F17" i="10"/>
  <c r="H17" i="10"/>
  <c r="F18" i="10"/>
  <c r="H18" i="10"/>
  <c r="F19" i="10"/>
  <c r="H19" i="10"/>
  <c r="F20" i="10"/>
  <c r="H20" i="10"/>
  <c r="F21" i="10"/>
  <c r="H21" i="10"/>
  <c r="F22" i="10"/>
  <c r="H22" i="10"/>
  <c r="F23" i="10"/>
  <c r="H23" i="10"/>
  <c r="F24" i="10"/>
  <c r="H24" i="10"/>
  <c r="F25" i="10"/>
  <c r="H25" i="10"/>
  <c r="F26" i="10"/>
  <c r="H26" i="10"/>
  <c r="F27" i="10"/>
  <c r="H27" i="10"/>
  <c r="F28" i="10"/>
  <c r="M14" i="10" s="1"/>
  <c r="H28" i="10"/>
  <c r="O14" i="10" s="1"/>
  <c r="F29" i="10"/>
  <c r="H29" i="10"/>
  <c r="F30" i="10"/>
  <c r="H30" i="10"/>
  <c r="F31" i="10"/>
  <c r="H31" i="10"/>
  <c r="F32" i="10"/>
  <c r="H32" i="10"/>
  <c r="F33" i="10"/>
  <c r="H33" i="10"/>
  <c r="F34" i="10"/>
  <c r="H34" i="10"/>
  <c r="F35" i="10"/>
  <c r="H35" i="10"/>
  <c r="F36" i="10"/>
  <c r="H36" i="10"/>
  <c r="F37" i="10"/>
  <c r="H37" i="10"/>
  <c r="F38" i="10"/>
  <c r="H38" i="10"/>
  <c r="F39" i="10"/>
  <c r="H39" i="10"/>
  <c r="F40" i="10"/>
  <c r="M15" i="10" s="1"/>
  <c r="H40" i="10"/>
  <c r="O15" i="10" s="1"/>
  <c r="F41" i="10"/>
  <c r="H41" i="10"/>
  <c r="F42" i="10"/>
  <c r="H42" i="10"/>
  <c r="F43" i="10"/>
  <c r="H43" i="10"/>
  <c r="F44" i="10"/>
  <c r="H44" i="10"/>
  <c r="F45" i="10"/>
  <c r="H45" i="10"/>
  <c r="F46" i="10"/>
  <c r="H46" i="10"/>
  <c r="F47" i="10"/>
  <c r="H47" i="10"/>
  <c r="F48" i="10"/>
  <c r="H48" i="10"/>
  <c r="F49" i="10"/>
  <c r="H49" i="10"/>
  <c r="F50" i="10"/>
  <c r="H50" i="10"/>
  <c r="F51" i="10"/>
  <c r="H51" i="10"/>
  <c r="F52" i="10"/>
  <c r="M16" i="10" s="1"/>
  <c r="H52" i="10"/>
  <c r="O16" i="10" s="1"/>
  <c r="F53" i="10"/>
  <c r="H53" i="10"/>
  <c r="F54" i="10"/>
  <c r="H54" i="10"/>
  <c r="F55" i="10"/>
  <c r="H55" i="10"/>
  <c r="F56" i="10"/>
  <c r="H56" i="10"/>
  <c r="F57" i="10"/>
  <c r="H57" i="10"/>
  <c r="F58" i="10"/>
  <c r="H58" i="10"/>
  <c r="F59" i="10"/>
  <c r="H59" i="10"/>
  <c r="F60" i="10"/>
  <c r="H60" i="10"/>
  <c r="F61" i="10"/>
  <c r="H61" i="10"/>
  <c r="F62" i="10"/>
  <c r="H62" i="10"/>
  <c r="F63" i="10"/>
  <c r="H63" i="10"/>
  <c r="F64" i="10"/>
  <c r="M17" i="10" s="1"/>
  <c r="H64" i="10"/>
  <c r="O17" i="10" s="1"/>
  <c r="F65" i="10"/>
  <c r="H65" i="10"/>
  <c r="F66" i="10"/>
  <c r="H66" i="10"/>
  <c r="F67" i="10"/>
  <c r="H67" i="10"/>
  <c r="F68" i="10"/>
  <c r="H68" i="10"/>
  <c r="F69" i="10"/>
  <c r="H69" i="10"/>
  <c r="F70" i="10"/>
  <c r="H70" i="10"/>
  <c r="F71" i="10"/>
  <c r="H71" i="10"/>
  <c r="F72" i="10"/>
  <c r="H72" i="10"/>
  <c r="F73" i="10"/>
  <c r="H73" i="10"/>
  <c r="F74" i="10"/>
  <c r="H74" i="10"/>
  <c r="F75" i="10"/>
  <c r="M18" i="10" s="1"/>
  <c r="H75" i="10"/>
  <c r="O18" i="10" s="1"/>
  <c r="F76" i="10"/>
  <c r="H76" i="10"/>
  <c r="F77" i="10"/>
  <c r="H77" i="10"/>
  <c r="F78" i="10"/>
  <c r="H78" i="10"/>
  <c r="F79" i="10"/>
  <c r="H79" i="10"/>
  <c r="F80" i="10"/>
  <c r="H80" i="10"/>
  <c r="F81" i="10"/>
  <c r="H81" i="10"/>
  <c r="F82" i="10"/>
  <c r="H82" i="10"/>
  <c r="F83" i="10"/>
  <c r="H83" i="10"/>
  <c r="F84" i="10"/>
  <c r="H84" i="10"/>
  <c r="F85" i="10"/>
  <c r="H85" i="10"/>
  <c r="F86" i="10"/>
  <c r="H86" i="10"/>
  <c r="F87" i="10"/>
  <c r="M19" i="10" s="1"/>
  <c r="H87" i="10"/>
  <c r="O19" i="10" s="1"/>
  <c r="F88" i="10"/>
  <c r="H88" i="10"/>
  <c r="F89" i="10"/>
  <c r="H89" i="10"/>
  <c r="F90" i="10"/>
  <c r="H90" i="10"/>
  <c r="F91" i="10"/>
  <c r="H91" i="10"/>
  <c r="F92" i="10"/>
  <c r="H92" i="10"/>
  <c r="F93" i="10"/>
  <c r="H93" i="10"/>
  <c r="F94" i="10"/>
  <c r="H94" i="10"/>
  <c r="F95" i="10"/>
  <c r="H95" i="10"/>
  <c r="F96" i="10"/>
  <c r="H96" i="10"/>
  <c r="F97" i="10"/>
  <c r="H97" i="10"/>
  <c r="F98" i="10"/>
  <c r="H98" i="10"/>
  <c r="F99" i="10"/>
  <c r="M20" i="10" s="1"/>
  <c r="H99" i="10"/>
  <c r="O20" i="10" s="1"/>
  <c r="F100" i="10"/>
  <c r="H100" i="10"/>
  <c r="F101" i="10"/>
  <c r="H101" i="10"/>
  <c r="F102" i="10"/>
  <c r="H102" i="10"/>
  <c r="F103" i="10"/>
  <c r="H103" i="10"/>
  <c r="F104" i="10"/>
  <c r="H104" i="10"/>
  <c r="F105" i="10"/>
  <c r="H105" i="10"/>
  <c r="F106" i="10"/>
  <c r="H106" i="10"/>
  <c r="F107" i="10"/>
  <c r="H107" i="10"/>
  <c r="F108" i="10"/>
  <c r="H108" i="10"/>
  <c r="F109" i="10"/>
  <c r="H109" i="10"/>
  <c r="F110" i="10"/>
  <c r="H110" i="10"/>
  <c r="F111" i="10"/>
  <c r="M21" i="10" s="1"/>
  <c r="H111" i="10"/>
  <c r="O21" i="10" s="1"/>
  <c r="F112" i="10"/>
  <c r="H112" i="10"/>
  <c r="F113" i="10"/>
  <c r="H113" i="10"/>
  <c r="F114" i="10"/>
  <c r="H114" i="10"/>
  <c r="F115" i="10"/>
  <c r="H115" i="10"/>
  <c r="E5" i="10"/>
  <c r="E6" i="10"/>
  <c r="E7" i="10"/>
  <c r="E8" i="10"/>
  <c r="E9" i="10"/>
  <c r="E10" i="10"/>
  <c r="E11" i="10"/>
  <c r="E12" i="10"/>
  <c r="E13" i="10"/>
  <c r="E14" i="10"/>
  <c r="E15" i="10"/>
  <c r="E16" i="10"/>
  <c r="L13" i="10" s="1"/>
  <c r="E17" i="10"/>
  <c r="E18" i="10"/>
  <c r="E19" i="10"/>
  <c r="E20" i="10"/>
  <c r="E21" i="10"/>
  <c r="E22" i="10"/>
  <c r="E23" i="10"/>
  <c r="E24" i="10"/>
  <c r="E25" i="10"/>
  <c r="E26" i="10"/>
  <c r="E27" i="10"/>
  <c r="E28" i="10"/>
  <c r="L14" i="10" s="1"/>
  <c r="E29" i="10"/>
  <c r="E30" i="10"/>
  <c r="E31" i="10"/>
  <c r="E32" i="10"/>
  <c r="E33" i="10"/>
  <c r="E34" i="10"/>
  <c r="E35" i="10"/>
  <c r="E36" i="10"/>
  <c r="E37" i="10"/>
  <c r="E38" i="10"/>
  <c r="E39" i="10"/>
  <c r="E40" i="10"/>
  <c r="L15" i="10" s="1"/>
  <c r="E41" i="10"/>
  <c r="E42" i="10"/>
  <c r="E43" i="10"/>
  <c r="E44" i="10"/>
  <c r="E45" i="10"/>
  <c r="E46" i="10"/>
  <c r="E47" i="10"/>
  <c r="E48" i="10"/>
  <c r="E49" i="10"/>
  <c r="E50" i="10"/>
  <c r="E51" i="10"/>
  <c r="E52" i="10"/>
  <c r="L16" i="10" s="1"/>
  <c r="E53" i="10"/>
  <c r="E54" i="10"/>
  <c r="E55" i="10"/>
  <c r="E56" i="10"/>
  <c r="E57" i="10"/>
  <c r="E58" i="10"/>
  <c r="E59" i="10"/>
  <c r="E60" i="10"/>
  <c r="E61" i="10"/>
  <c r="E62" i="10"/>
  <c r="E63" i="10"/>
  <c r="E64" i="10"/>
  <c r="L17" i="10" s="1"/>
  <c r="E65" i="10"/>
  <c r="E66" i="10"/>
  <c r="E67" i="10"/>
  <c r="E68" i="10"/>
  <c r="E69" i="10"/>
  <c r="E70" i="10"/>
  <c r="E71" i="10"/>
  <c r="E72" i="10"/>
  <c r="E73" i="10"/>
  <c r="E74" i="10"/>
  <c r="E75" i="10"/>
  <c r="M4" i="10" s="1"/>
  <c r="E76" i="10"/>
  <c r="E77" i="10"/>
  <c r="E78" i="10"/>
  <c r="E79" i="10"/>
  <c r="E80" i="10"/>
  <c r="E81" i="10"/>
  <c r="E82" i="10"/>
  <c r="E83" i="10"/>
  <c r="E84" i="10"/>
  <c r="E85" i="10"/>
  <c r="E86" i="10"/>
  <c r="E87" i="10"/>
  <c r="L19" i="10" s="1"/>
  <c r="E88" i="10"/>
  <c r="E89" i="10"/>
  <c r="E90" i="10"/>
  <c r="E91" i="10"/>
  <c r="E92" i="10"/>
  <c r="E93" i="10"/>
  <c r="E94" i="10"/>
  <c r="E95" i="10"/>
  <c r="E96" i="10"/>
  <c r="E97" i="10"/>
  <c r="E98" i="10"/>
  <c r="E99" i="10"/>
  <c r="L20" i="10" s="1"/>
  <c r="E100" i="10"/>
  <c r="E101" i="10"/>
  <c r="E102" i="10"/>
  <c r="E103" i="10"/>
  <c r="E104" i="10"/>
  <c r="E105" i="10"/>
  <c r="E106" i="10"/>
  <c r="E107" i="10"/>
  <c r="E108" i="10"/>
  <c r="E109" i="10"/>
  <c r="E110" i="10"/>
  <c r="E111" i="10"/>
  <c r="L21" i="10" s="1"/>
  <c r="E112" i="10"/>
  <c r="E113" i="10"/>
  <c r="E114" i="10"/>
  <c r="E115" i="10"/>
  <c r="E4" i="10"/>
  <c r="L12" i="10" s="1"/>
  <c r="H5" i="9"/>
  <c r="H6" i="9"/>
  <c r="H7" i="9"/>
  <c r="H8" i="9"/>
  <c r="H9" i="9"/>
  <c r="H10" i="9"/>
  <c r="H11" i="9"/>
  <c r="H12" i="9"/>
  <c r="H13" i="9"/>
  <c r="H14" i="9"/>
  <c r="H15" i="9"/>
  <c r="H16" i="9"/>
  <c r="H17" i="9"/>
  <c r="G5" i="10" s="1"/>
  <c r="H18" i="9"/>
  <c r="G6" i="10" s="1"/>
  <c r="H19" i="9"/>
  <c r="G7" i="10" s="1"/>
  <c r="H20" i="9"/>
  <c r="G8" i="10" s="1"/>
  <c r="H21" i="9"/>
  <c r="G9" i="10" s="1"/>
  <c r="H22" i="9"/>
  <c r="G10" i="10" s="1"/>
  <c r="H23" i="9"/>
  <c r="G11" i="10" s="1"/>
  <c r="H24" i="9"/>
  <c r="G12" i="10" s="1"/>
  <c r="H25" i="9"/>
  <c r="G13" i="10" s="1"/>
  <c r="H26" i="9"/>
  <c r="G14" i="10" s="1"/>
  <c r="H27" i="9"/>
  <c r="G15" i="10" s="1"/>
  <c r="H28" i="9"/>
  <c r="G16" i="10" s="1"/>
  <c r="H29" i="9"/>
  <c r="G17" i="10" s="1"/>
  <c r="H30" i="9"/>
  <c r="G18" i="10" s="1"/>
  <c r="H31" i="9"/>
  <c r="G19" i="10" s="1"/>
  <c r="H32" i="9"/>
  <c r="G20" i="10" s="1"/>
  <c r="H33" i="9"/>
  <c r="G21" i="10" s="1"/>
  <c r="H34" i="9"/>
  <c r="G22" i="10" s="1"/>
  <c r="H35" i="9"/>
  <c r="G23" i="10" s="1"/>
  <c r="H36" i="9"/>
  <c r="G24" i="10" s="1"/>
  <c r="H37" i="9"/>
  <c r="G25" i="10" s="1"/>
  <c r="H38" i="9"/>
  <c r="G26" i="10" s="1"/>
  <c r="H39" i="9"/>
  <c r="G27" i="10" s="1"/>
  <c r="H40" i="9"/>
  <c r="G28" i="10" s="1"/>
  <c r="H41" i="9"/>
  <c r="G29" i="10" s="1"/>
  <c r="H42" i="9"/>
  <c r="G30" i="10" s="1"/>
  <c r="H43" i="9"/>
  <c r="G31" i="10" s="1"/>
  <c r="H44" i="9"/>
  <c r="G32" i="10" s="1"/>
  <c r="H45" i="9"/>
  <c r="G33" i="10" s="1"/>
  <c r="H46" i="9"/>
  <c r="G34" i="10" s="1"/>
  <c r="H47" i="9"/>
  <c r="G35" i="10" s="1"/>
  <c r="H48" i="9"/>
  <c r="G36" i="10" s="1"/>
  <c r="H49" i="9"/>
  <c r="G37" i="10" s="1"/>
  <c r="H50" i="9"/>
  <c r="G38" i="10" s="1"/>
  <c r="H51" i="9"/>
  <c r="G39" i="10" s="1"/>
  <c r="H52" i="9"/>
  <c r="G40" i="10" s="1"/>
  <c r="H53" i="9"/>
  <c r="G41" i="10" s="1"/>
  <c r="H54" i="9"/>
  <c r="G42" i="10" s="1"/>
  <c r="H55" i="9"/>
  <c r="G43" i="10" s="1"/>
  <c r="H56" i="9"/>
  <c r="G44" i="10" s="1"/>
  <c r="H57" i="9"/>
  <c r="G45" i="10" s="1"/>
  <c r="H58" i="9"/>
  <c r="G46" i="10" s="1"/>
  <c r="H59" i="9"/>
  <c r="G47" i="10" s="1"/>
  <c r="H60" i="9"/>
  <c r="G48" i="10" s="1"/>
  <c r="H61" i="9"/>
  <c r="G49" i="10" s="1"/>
  <c r="H62" i="9"/>
  <c r="G50" i="10" s="1"/>
  <c r="H63" i="9"/>
  <c r="G51" i="10" s="1"/>
  <c r="H64" i="9"/>
  <c r="G52" i="10" s="1"/>
  <c r="H65" i="9"/>
  <c r="G53" i="10" s="1"/>
  <c r="H66" i="9"/>
  <c r="G54" i="10" s="1"/>
  <c r="H67" i="9"/>
  <c r="G55" i="10" s="1"/>
  <c r="H68" i="9"/>
  <c r="G56" i="10" s="1"/>
  <c r="H69" i="9"/>
  <c r="G57" i="10" s="1"/>
  <c r="H70" i="9"/>
  <c r="G58" i="10" s="1"/>
  <c r="H71" i="9"/>
  <c r="G59" i="10" s="1"/>
  <c r="H72" i="9"/>
  <c r="G60" i="10" s="1"/>
  <c r="H73" i="9"/>
  <c r="G61" i="10" s="1"/>
  <c r="H74" i="9"/>
  <c r="G62" i="10" s="1"/>
  <c r="H75" i="9"/>
  <c r="G63" i="10" s="1"/>
  <c r="H76" i="9"/>
  <c r="G64" i="10" s="1"/>
  <c r="H77" i="9"/>
  <c r="G65" i="10" s="1"/>
  <c r="H78" i="9"/>
  <c r="G66" i="10" s="1"/>
  <c r="H79" i="9"/>
  <c r="G67" i="10" s="1"/>
  <c r="H80" i="9"/>
  <c r="G68" i="10" s="1"/>
  <c r="H81" i="9"/>
  <c r="G69" i="10" s="1"/>
  <c r="H82" i="9"/>
  <c r="G70" i="10" s="1"/>
  <c r="H83" i="9"/>
  <c r="G71" i="10" s="1"/>
  <c r="H84" i="9"/>
  <c r="G72" i="10" s="1"/>
  <c r="H85" i="9"/>
  <c r="G73" i="10" s="1"/>
  <c r="H86" i="9"/>
  <c r="G74" i="10" s="1"/>
  <c r="H87" i="9"/>
  <c r="G75" i="10" s="1"/>
  <c r="H88" i="9"/>
  <c r="G76" i="10" s="1"/>
  <c r="H89" i="9"/>
  <c r="G77" i="10" s="1"/>
  <c r="H90" i="9"/>
  <c r="G78" i="10" s="1"/>
  <c r="H91" i="9"/>
  <c r="G79" i="10" s="1"/>
  <c r="H92" i="9"/>
  <c r="G80" i="10" s="1"/>
  <c r="H93" i="9"/>
  <c r="G81" i="10" s="1"/>
  <c r="H94" i="9"/>
  <c r="G82" i="10" s="1"/>
  <c r="H95" i="9"/>
  <c r="G83" i="10" s="1"/>
  <c r="H96" i="9"/>
  <c r="G84" i="10" s="1"/>
  <c r="H97" i="9"/>
  <c r="G85" i="10" s="1"/>
  <c r="H98" i="9"/>
  <c r="G86" i="10" s="1"/>
  <c r="H99" i="9"/>
  <c r="G87" i="10" s="1"/>
  <c r="H100" i="9"/>
  <c r="G88" i="10" s="1"/>
  <c r="H101" i="9"/>
  <c r="G89" i="10" s="1"/>
  <c r="H102" i="9"/>
  <c r="G90" i="10" s="1"/>
  <c r="H103" i="9"/>
  <c r="G91" i="10" s="1"/>
  <c r="H104" i="9"/>
  <c r="G92" i="10" s="1"/>
  <c r="H105" i="9"/>
  <c r="G93" i="10" s="1"/>
  <c r="H106" i="9"/>
  <c r="G94" i="10" s="1"/>
  <c r="H107" i="9"/>
  <c r="G95" i="10" s="1"/>
  <c r="H108" i="9"/>
  <c r="G96" i="10" s="1"/>
  <c r="H109" i="9"/>
  <c r="G97" i="10" s="1"/>
  <c r="H110" i="9"/>
  <c r="G98" i="10" s="1"/>
  <c r="H111" i="9"/>
  <c r="G99" i="10" s="1"/>
  <c r="H112" i="9"/>
  <c r="G100" i="10" s="1"/>
  <c r="H113" i="9"/>
  <c r="G101" i="10" s="1"/>
  <c r="H114" i="9"/>
  <c r="G102" i="10" s="1"/>
  <c r="H115" i="9"/>
  <c r="G103" i="10" s="1"/>
  <c r="H116" i="9"/>
  <c r="G104" i="10" s="1"/>
  <c r="H117" i="9"/>
  <c r="G105" i="10" s="1"/>
  <c r="H118" i="9"/>
  <c r="G106" i="10" s="1"/>
  <c r="H119" i="9"/>
  <c r="G107" i="10" s="1"/>
  <c r="H120" i="9"/>
  <c r="G108" i="10" s="1"/>
  <c r="H121" i="9"/>
  <c r="G109" i="10" s="1"/>
  <c r="H122" i="9"/>
  <c r="G110" i="10" s="1"/>
  <c r="H123" i="9"/>
  <c r="G111" i="10" s="1"/>
  <c r="H124" i="9"/>
  <c r="H125" i="9"/>
  <c r="G113" i="10" s="1"/>
  <c r="H126" i="9"/>
  <c r="G114" i="10" s="1"/>
  <c r="H127" i="9"/>
  <c r="G115" i="10" s="1"/>
  <c r="H4"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2" i="2"/>
  <c r="N20" i="10" l="1"/>
  <c r="G4" i="10"/>
  <c r="N12" i="10" s="1"/>
  <c r="G112" i="10"/>
  <c r="N21" i="10"/>
  <c r="N6" i="10"/>
  <c r="N19" i="10"/>
  <c r="N17" i="10"/>
  <c r="L6" i="10"/>
  <c r="N16" i="10"/>
  <c r="N15" i="10"/>
  <c r="N14" i="10"/>
  <c r="N13" i="10"/>
  <c r="M6" i="10"/>
  <c r="N18" i="10"/>
  <c r="L4" i="10"/>
  <c r="N7" i="10"/>
  <c r="N5" i="10"/>
  <c r="L18" i="10"/>
  <c r="L5" i="10"/>
  <c r="M7" i="10"/>
  <c r="M5" i="10"/>
  <c r="N4" i="10"/>
  <c r="L7" i="10"/>
</calcChain>
</file>

<file path=xl/sharedStrings.xml><?xml version="1.0" encoding="utf-8"?>
<sst xmlns="http://schemas.openxmlformats.org/spreadsheetml/2006/main" count="2668" uniqueCount="108">
  <si>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</si>
  <si>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</si>
  <si>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</si>
  <si>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</si>
  <si>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</si>
  <si>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</si>
  <si>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</si>
  <si>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</si>
  <si>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</si>
  <si>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</si>
  <si>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</si>
  <si>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</si>
  <si>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</si>
  <si>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</si>
  <si>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</si>
  <si>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</si>
  <si>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</si>
  <si>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</si>
  <si>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</si>
  <si>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</si>
  <si>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</si>
  <si>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</si>
  <si>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</si>
  <si>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</si>
  <si>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</si>
  <si>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</si>
  <si>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</si>
  <si>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</si>
  <si>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</si>
  <si>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</si>
  <si>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</si>
  <si>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</si>
  <si>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</si>
  <si>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</si>
  <si>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</si>
  <si>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</si>
  <si>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</si>
  <si>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</si>
  <si>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</si>
  <si>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</si>
  <si>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</si>
  <si>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</si>
  <si>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</si>
  <si>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</si>
  <si>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</si>
  <si>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</si>
  <si>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</si>
  <si>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</si>
  <si>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Date</t>
  </si>
  <si>
    <t>Covid Period</t>
  </si>
  <si>
    <t>Data Cleaning</t>
  </si>
  <si>
    <t>1. Checked Data  Type</t>
  </si>
  <si>
    <t>2. Checked For Blankspaces using CountBlank Function</t>
  </si>
  <si>
    <t>4. Created a Date Column</t>
  </si>
  <si>
    <t>5. Created Covid Period Column by the help of IF Function</t>
  </si>
  <si>
    <t>3. Created a New Sheet which only have Rural+Urban Sector do carry out further analysis smoothly</t>
  </si>
  <si>
    <t>CPI Sub-Category</t>
  </si>
  <si>
    <t>Broader Category</t>
  </si>
  <si>
    <t>Food</t>
  </si>
  <si>
    <t>Energy</t>
  </si>
  <si>
    <t>Transportation</t>
  </si>
  <si>
    <t xml:space="preserve"> Broder Category Mapping</t>
  </si>
  <si>
    <t>Broder Category CPI inflation index</t>
  </si>
  <si>
    <t>6. Created a New Sheet for Broder Category Mapping &amp; CPI Infaltion Index per Broder Category</t>
  </si>
  <si>
    <t>Note-</t>
  </si>
  <si>
    <t>1. In this Miscellaneous is calculated by doing Average of Household goods and services, Recreation and amusement, Personal care and effects Columns from the main data.</t>
  </si>
  <si>
    <t>QUESTION 1: Contribution of Broader Categories (Latest Month)</t>
  </si>
  <si>
    <t>Conclusions -</t>
  </si>
  <si>
    <t>Essential Sevices</t>
  </si>
  <si>
    <t>Health Care</t>
  </si>
  <si>
    <t>YoY Inflation %</t>
  </si>
  <si>
    <t>7. Replaced the NA with the Mean</t>
  </si>
  <si>
    <t>Essential Servises</t>
  </si>
  <si>
    <t>Data Required for Question 4</t>
  </si>
  <si>
    <t xml:space="preserve">General </t>
  </si>
  <si>
    <t>Category</t>
  </si>
  <si>
    <t>Avg Inflation (%) for years 2019,2020,2021</t>
  </si>
  <si>
    <t>Pre-Covid</t>
  </si>
  <si>
    <t>Post-Covid</t>
  </si>
  <si>
    <t xml:space="preserve">YoY Inflation Rate </t>
  </si>
  <si>
    <t>MoM Inflation Rate</t>
  </si>
  <si>
    <t>1. Highest food inflation (MoM):</t>
  </si>
  <si>
    <t>October 2022 (+1.01)</t>
  </si>
  <si>
    <t>2. Lowest food inflation (MoM):</t>
  </si>
  <si>
    <t>December 2022 (−1.35%)</t>
  </si>
  <si>
    <t>A. Trend Analysis: Broader Food &amp; Beverages Category</t>
  </si>
  <si>
    <t>Food Sub Category</t>
  </si>
  <si>
    <t>CPI Index (June 2022)</t>
  </si>
  <si>
    <t>CPI Index (May 2023)</t>
  </si>
  <si>
    <t xml:space="preserve">Absolute Change </t>
  </si>
  <si>
    <r>
      <t xml:space="preserve">📌 </t>
    </r>
    <r>
      <rPr>
        <b/>
        <sz val="11"/>
        <color theme="1"/>
        <rFont val="Calibri"/>
        <family val="2"/>
        <scheme val="minor"/>
      </rPr>
      <t>Conclusion:</t>
    </r>
  </si>
  <si>
    <t>B. Absolute Change in Food Inflation (June 22 → May 23)</t>
  </si>
  <si>
    <t>1. Biggest Individual Contributor (Within Food Category) is the Spices with the Highest absolute Increase of +30.9 Index Points</t>
  </si>
  <si>
    <t>2. Even though prices of vegetables and cooking oil went down, prices of spices, cereals, and milk kept increasing. Because of this, they were the main reasons for the rise in food inflation.</t>
  </si>
  <si>
    <t>Contribution %</t>
  </si>
  <si>
    <t>Clothing &amp; Footwear</t>
  </si>
  <si>
    <t>Bucket Value (Sum of Indices)</t>
  </si>
  <si>
    <t>Total</t>
  </si>
  <si>
    <t>Conclusion-</t>
  </si>
  <si>
    <r>
      <t>Highest Contributor:</t>
    </r>
    <r>
      <rPr>
        <sz val="11"/>
        <color theme="1"/>
        <rFont val="Times New Roman"/>
        <family val="2"/>
      </rPr>
      <t xml:space="preserve"> The </t>
    </r>
    <r>
      <rPr>
        <b/>
        <sz val="11"/>
        <color theme="1"/>
        <rFont val="Times New Roman"/>
        <family val="2"/>
      </rPr>
      <t>Food</t>
    </r>
    <r>
      <rPr>
        <sz val="11"/>
        <color theme="1"/>
        <rFont val="Times New Roman"/>
        <family val="2"/>
      </rPr>
      <t xml:space="preserve"> category has the highest contribution towards the CPI calculation at </t>
    </r>
    <r>
      <rPr>
        <b/>
        <sz val="11"/>
        <color theme="1"/>
        <rFont val="Times New Roman"/>
        <family val="2"/>
      </rPr>
      <t>51.73%</t>
    </r>
    <r>
      <rPr>
        <sz val="11"/>
        <color theme="1"/>
        <rFont val="Times New Roman"/>
        <family val="2"/>
      </rPr>
      <t>.</t>
    </r>
  </si>
  <si>
    <t>Essential Services is computed by Averaging columns like Housing, Transportation, Education, Fuel &amp; Light form the Broder Category Data Sheet.</t>
  </si>
  <si>
    <t>Imported Oil Price</t>
  </si>
  <si>
    <t>Imported Oil Prices were taken from Google Geminie.</t>
  </si>
  <si>
    <t xml:space="preserve">Data Required for Question 5 </t>
  </si>
  <si>
    <t>1. Month-on-Month (MoM) % Change</t>
  </si>
  <si>
    <t>2. Correlation Calculation</t>
  </si>
  <si>
    <t>Correlation</t>
  </si>
  <si>
    <t>DashBoard for Indian CPI Inflation CaseStudy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</si>
</sst>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Times New Roman"/>
      <family val="2"/>
    </font>
    <font>
      <b/>
      <sz val="11"/>
      <color theme="1"/>
      <name val="Times New Roman"/>
      <family val="2"/>
    </font>
    <font>
      <sz val="10"/>
      <color theme="1"/>
      <name val="Calibri"/>
      <family val="2"/>
      <scheme val="minor"/>
    </font>
    <font>
      <b/>
      <sz val="10"/>
      <color theme="1"/>
      <name val="Calibri"/>
      <family val="2"/>
      <scheme val="minor"/>
    </font>
    <font>
      <b/>
      <sz val="11"/>
      <color theme="1"/>
      <name val="Times New Roman"/>
      <family val="1"/>
    </font>
    <font>
      <b/>
      <sz val="12"/>
      <color theme="1"/>
      <name val="Times New Roman"/>
      <family val="1"/>
    </font>
    <font>
      <b/>
      <sz val="12"/>
      <color theme="1"/>
      <name val="Calibri"/>
      <family val="2"/>
      <scheme val="minor"/>
    </font>
    <font>
      <b/>
      <sz val="11"/>
      <color theme="1"/>
      <name val="Calibri"/>
      <family val="2"/>
      <scheme val="minor"/>
    </font>
    <font>
      <sz val="11"/>
      <color theme="1"/>
      <name val="Times New Roman"/>
      <family val="2"/>
    </font>
    <font>
      <sz val="11"/>
      <color rgb="FF1F1F1F"/>
      <name val="Arial"/>
      <family val="2"/>
    </font>
    <font>
      <b/>
      <sz val="11"/>
      <color rgb="FF1F1F1F"/>
      <name val="Arial"/>
      <family val="2"/>
    </font>
    <font>
      <b/>
      <sz val="11"/>
      <color rgb="FF1F1F1F"/>
      <name val="Times New Roman"/>
      <family val="1"/>
    </font>
    <font>
      <b/>
      <sz val="16"/>
      <color theme="1"/>
      <name val="Calibri"/>
      <family val="2"/>
      <scheme val="minor"/>
    </font>
    <font>
      <sz val="11"/>
      <color theme="1"/>
      <name val="Calibri"/>
      <family val="2"/>
      <scheme val="minor"/>
    </font>
    <font>
      <sz val="11"/>
      <color theme="1"/>
      <name val="Times New Roman"/>
      <family val="1"/>
    </font>
    <font>
      <sz val="11"/>
      <color rgb="FF1F1F1F"/>
      <name val="Times New Roman"/>
      <family val="1"/>
    </font>
    <font>
      <b/>
      <sz val="14"/>
      <color theme="1"/>
      <name val="Times New Roman"/>
      <family val="1"/>
    </font>
    <font>
      <sz val="11"/>
      <color rgb="FF1F1F1F"/>
      <name val="Calibri"/>
      <family val="2"/>
      <scheme val="minor"/>
    </font>
    <font>
      <b/>
      <sz val="16"/>
      <color theme="0"/>
      <name val="Times New Roman"/>
      <family val="1"/>
    </font>
  </fonts>
  <fills count="13">
    <fill>
      <patternFill patternType="none"/>
    </fill>
    <fill>
      <patternFill patternType="gray125"/>
    </fill>
    <fill>
      <patternFill patternType="solid">
        <fgColor theme="9"/>
        <bgColor indexed="64"/>
      </patternFill>
    </fill>
    <fill>
      <patternFill patternType="solid">
        <fgColor theme="7"/>
        <bgColor indexed="64"/>
      </patternFill>
    </fill>
    <fill>
      <patternFill patternType="solid">
        <fgColor theme="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00FF00"/>
        <bgColor indexed="64"/>
      </patternFill>
    </fill>
    <fill>
      <patternFill patternType="solid">
        <fgColor rgb="FFFF0000"/>
        <bgColor indexed="64"/>
      </patternFill>
    </fill>
    <fill>
      <patternFill patternType="solid">
        <fgColor theme="4" tint="-0.499984740745262"/>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77">
    <xf numFmtId="0" fontId="0" fillId="0" borderId="0" xfId="0"/>
    <xf numFmtId="0" fontId="3" fillId="2" borderId="1" xfId="0" applyFont="1" applyFill="1" applyBorder="1"/>
    <xf numFmtId="0" fontId="2" fillId="0" borderId="1" xfId="0" applyFont="1" applyBorder="1"/>
    <xf numFmtId="17" fontId="2" fillId="0" borderId="1" xfId="0" applyNumberFormat="1" applyFont="1" applyBorder="1"/>
    <xf numFmtId="0" fontId="5" fillId="0" borderId="0" xfId="0" applyFont="1"/>
    <xf numFmtId="0" fontId="0" fillId="2" borderId="1" xfId="0" applyFill="1" applyBorder="1"/>
    <xf numFmtId="0" fontId="0" fillId="0" borderId="1" xfId="0" applyBorder="1"/>
    <xf numFmtId="0" fontId="6" fillId="3" borderId="1" xfId="0" applyFont="1" applyFill="1" applyBorder="1"/>
    <xf numFmtId="0" fontId="6" fillId="2" borderId="1" xfId="0" applyFont="1" applyFill="1" applyBorder="1"/>
    <xf numFmtId="164" fontId="2" fillId="0" borderId="1" xfId="0" applyNumberFormat="1" applyFont="1" applyBorder="1"/>
    <xf numFmtId="0" fontId="5" fillId="4" borderId="0" xfId="0" applyFont="1" applyFill="1" applyAlignment="1">
      <alignment vertical="center"/>
    </xf>
    <xf numFmtId="0" fontId="5" fillId="4" borderId="2" xfId="0" applyFont="1" applyFill="1" applyBorder="1" applyAlignment="1">
      <alignment vertical="center"/>
    </xf>
    <xf numFmtId="0" fontId="4" fillId="4" borderId="0" xfId="0" applyFont="1" applyFill="1" applyAlignment="1">
      <alignment vertical="center"/>
    </xf>
    <xf numFmtId="0" fontId="4" fillId="4" borderId="2" xfId="0" applyFont="1" applyFill="1" applyBorder="1" applyAlignment="1">
      <alignment vertical="center"/>
    </xf>
    <xf numFmtId="2" fontId="0" fillId="0" borderId="0" xfId="0" applyNumberFormat="1"/>
    <xf numFmtId="164" fontId="0" fillId="0" borderId="0" xfId="0" applyNumberFormat="1"/>
    <xf numFmtId="0" fontId="4" fillId="0" borderId="0" xfId="0" applyFont="1"/>
    <xf numFmtId="0" fontId="4" fillId="2" borderId="1" xfId="0" applyFont="1" applyFill="1" applyBorder="1"/>
    <xf numFmtId="0" fontId="3" fillId="4" borderId="0" xfId="0" applyFont="1" applyFill="1"/>
    <xf numFmtId="10" fontId="0" fillId="0" borderId="1" xfId="1" applyNumberFormat="1" applyFont="1" applyBorder="1"/>
    <xf numFmtId="0" fontId="10" fillId="0" borderId="0" xfId="0" applyFont="1" applyAlignment="1">
      <alignment vertical="center" readingOrder="1"/>
    </xf>
    <xf numFmtId="0" fontId="9" fillId="0" borderId="0" xfId="0" applyFont="1" applyAlignment="1">
      <alignment vertical="center" readingOrder="1"/>
    </xf>
    <xf numFmtId="0" fontId="4" fillId="4" borderId="1" xfId="0" applyFont="1" applyFill="1" applyBorder="1"/>
    <xf numFmtId="0" fontId="1" fillId="4" borderId="1" xfId="0" applyFont="1" applyFill="1" applyBorder="1"/>
    <xf numFmtId="0" fontId="11" fillId="0" borderId="1" xfId="0" applyFont="1" applyBorder="1" applyAlignment="1">
      <alignment vertical="center" readingOrder="1"/>
    </xf>
    <xf numFmtId="10" fontId="9" fillId="0" borderId="1" xfId="1" applyNumberFormat="1" applyFont="1" applyBorder="1" applyAlignment="1">
      <alignment vertical="center" readingOrder="1"/>
    </xf>
    <xf numFmtId="0" fontId="4" fillId="5" borderId="1" xfId="0" applyFont="1" applyFill="1" applyBorder="1"/>
    <xf numFmtId="0" fontId="4" fillId="6" borderId="1" xfId="0" applyFont="1" applyFill="1" applyBorder="1"/>
    <xf numFmtId="0" fontId="6" fillId="7" borderId="1" xfId="0" applyFont="1" applyFill="1" applyBorder="1"/>
    <xf numFmtId="0" fontId="3" fillId="5" borderId="1" xfId="0" applyFont="1" applyFill="1" applyBorder="1"/>
    <xf numFmtId="0" fontId="0" fillId="5" borderId="1" xfId="0" applyFill="1" applyBorder="1"/>
    <xf numFmtId="2" fontId="0" fillId="5" borderId="1" xfId="0" applyNumberFormat="1" applyFill="1" applyBorder="1"/>
    <xf numFmtId="0" fontId="0" fillId="8" borderId="1" xfId="0" applyFill="1" applyBorder="1"/>
    <xf numFmtId="2" fontId="0" fillId="8" borderId="1" xfId="0" applyNumberFormat="1" applyFill="1" applyBorder="1"/>
    <xf numFmtId="0" fontId="12" fillId="0" borderId="0" xfId="0" applyFont="1"/>
    <xf numFmtId="0" fontId="2" fillId="9" borderId="1" xfId="0" applyFont="1" applyFill="1" applyBorder="1"/>
    <xf numFmtId="17" fontId="2" fillId="9" borderId="1" xfId="0" applyNumberFormat="1" applyFont="1" applyFill="1" applyBorder="1"/>
    <xf numFmtId="164" fontId="2" fillId="9" borderId="1" xfId="0" applyNumberFormat="1" applyFont="1" applyFill="1" applyBorder="1"/>
    <xf numFmtId="10" fontId="0" fillId="9" borderId="1" xfId="1" applyNumberFormat="1" applyFont="1" applyFill="1" applyBorder="1"/>
    <xf numFmtId="0" fontId="2" fillId="10" borderId="1" xfId="0" applyFont="1" applyFill="1" applyBorder="1"/>
    <xf numFmtId="17" fontId="2" fillId="10" borderId="1" xfId="0" applyNumberFormat="1" applyFont="1" applyFill="1" applyBorder="1"/>
    <xf numFmtId="164" fontId="2" fillId="10" borderId="1" xfId="0" applyNumberFormat="1" applyFont="1" applyFill="1" applyBorder="1"/>
    <xf numFmtId="10" fontId="0" fillId="10" borderId="1" xfId="1" applyNumberFormat="1" applyFont="1" applyFill="1" applyBorder="1"/>
    <xf numFmtId="0" fontId="0" fillId="0" borderId="0" xfId="0" applyAlignment="1">
      <alignment horizontal="left" vertical="center" indent="1"/>
    </xf>
    <xf numFmtId="0" fontId="7" fillId="0" borderId="0" xfId="0" applyFont="1" applyAlignment="1">
      <alignment horizontal="left" vertical="center" indent="1"/>
    </xf>
    <xf numFmtId="0" fontId="0" fillId="0" borderId="0" xfId="0" applyAlignment="1">
      <alignment horizontal="left" vertical="center" indent="2"/>
    </xf>
    <xf numFmtId="0" fontId="6" fillId="4" borderId="0" xfId="0" applyFont="1" applyFill="1"/>
    <xf numFmtId="0" fontId="0" fillId="4" borderId="0" xfId="0" applyFill="1"/>
    <xf numFmtId="0" fontId="7" fillId="5" borderId="1" xfId="0" applyFont="1" applyFill="1" applyBorder="1" applyAlignment="1">
      <alignment wrapText="1"/>
    </xf>
    <xf numFmtId="0" fontId="7" fillId="5" borderId="1" xfId="0" applyFont="1" applyFill="1" applyBorder="1" applyAlignment="1">
      <alignment horizontal="center" vertical="center" wrapText="1"/>
    </xf>
    <xf numFmtId="164" fontId="7" fillId="7" borderId="1" xfId="0" applyNumberFormat="1" applyFont="1" applyFill="1" applyBorder="1" applyAlignment="1">
      <alignment wrapText="1"/>
    </xf>
    <xf numFmtId="0" fontId="13" fillId="0" borderId="0" xfId="0" applyFont="1" applyAlignment="1">
      <alignment vertical="center"/>
    </xf>
    <xf numFmtId="0" fontId="6" fillId="2" borderId="1" xfId="0" applyFont="1" applyFill="1" applyBorder="1" applyAlignment="1">
      <alignment horizontal="center" vertical="center" wrapText="1"/>
    </xf>
    <xf numFmtId="0" fontId="4" fillId="0" borderId="1" xfId="0" applyFont="1" applyBorder="1"/>
    <xf numFmtId="164" fontId="15" fillId="0" borderId="1" xfId="0" applyNumberFormat="1" applyFont="1" applyBorder="1" applyAlignment="1">
      <alignment vertical="center" readingOrder="1"/>
    </xf>
    <xf numFmtId="164" fontId="14" fillId="0" borderId="1" xfId="0" applyNumberFormat="1" applyFont="1" applyBorder="1"/>
    <xf numFmtId="2" fontId="15" fillId="0" borderId="1" xfId="0" applyNumberFormat="1" applyFont="1" applyBorder="1" applyAlignment="1">
      <alignment vertical="center" readingOrder="1"/>
    </xf>
    <xf numFmtId="10" fontId="14" fillId="0" borderId="1" xfId="0" applyNumberFormat="1" applyFont="1" applyBorder="1"/>
    <xf numFmtId="0" fontId="11" fillId="5" borderId="1" xfId="0" applyFont="1" applyFill="1" applyBorder="1" applyAlignment="1">
      <alignment vertical="center" readingOrder="1"/>
    </xf>
    <xf numFmtId="10" fontId="14" fillId="5" borderId="1" xfId="0" applyNumberFormat="1" applyFont="1" applyFill="1" applyBorder="1"/>
    <xf numFmtId="0" fontId="11" fillId="2" borderId="1" xfId="0" applyFont="1" applyFill="1" applyBorder="1" applyAlignment="1">
      <alignment vertical="center" wrapText="1" readingOrder="1"/>
    </xf>
    <xf numFmtId="0" fontId="4" fillId="2" borderId="1" xfId="0" applyFont="1" applyFill="1" applyBorder="1" applyAlignment="1">
      <alignment wrapText="1"/>
    </xf>
    <xf numFmtId="0" fontId="1" fillId="0" borderId="0" xfId="0" applyFont="1"/>
    <xf numFmtId="0" fontId="16" fillId="0" borderId="0" xfId="0" applyFont="1"/>
    <xf numFmtId="0" fontId="7" fillId="2" borderId="0" xfId="0" applyFont="1" applyFill="1"/>
    <xf numFmtId="0" fontId="2" fillId="0" borderId="3" xfId="0" applyFont="1" applyBorder="1"/>
    <xf numFmtId="164" fontId="2" fillId="0" borderId="4" xfId="0" applyNumberFormat="1" applyFont="1" applyBorder="1"/>
    <xf numFmtId="0" fontId="17" fillId="0" borderId="1" xfId="0" applyFont="1" applyBorder="1" applyAlignment="1">
      <alignment vertical="center" wrapText="1" readingOrder="1"/>
    </xf>
    <xf numFmtId="0" fontId="3" fillId="2" borderId="0" xfId="0" applyFont="1" applyFill="1"/>
    <xf numFmtId="0" fontId="7" fillId="2" borderId="1" xfId="0" applyFont="1" applyFill="1" applyBorder="1"/>
    <xf numFmtId="0" fontId="2" fillId="0" borderId="0" xfId="0" applyFont="1"/>
    <xf numFmtId="10" fontId="0" fillId="0" borderId="0" xfId="1" applyNumberFormat="1" applyFont="1" applyBorder="1"/>
    <xf numFmtId="0" fontId="0" fillId="3" borderId="1" xfId="0" applyFill="1" applyBorder="1"/>
    <xf numFmtId="2" fontId="0" fillId="3" borderId="1" xfId="0" applyNumberFormat="1" applyFill="1" applyBorder="1"/>
    <xf numFmtId="0" fontId="0" fillId="12" borderId="0" xfId="0" applyFill="1"/>
    <xf numFmtId="0" fontId="0" fillId="0" borderId="0" xfId="0" applyAlignment="1">
      <alignment horizontal="center" wrapText="1"/>
    </xf>
    <xf numFmtId="0" fontId="18" fillId="11" borderId="0" xfId="0"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Broder Category Contribution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'Question 1'!$C$8</c:f>
              <c:strCache>
                <c:ptCount val="1"/>
                <c:pt idx="0">
                  <c:v>Contribution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3E-4605-A195-2AF2BB70DC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3E-4605-A195-2AF2BB70DC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F3E-4605-A195-2AF2BB70DC7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F3E-4605-A195-2AF2BB70DC7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F3E-4605-A195-2AF2BB70DC7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F3E-4605-A195-2AF2BB70DC7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F3E-4605-A195-2AF2BB70DC7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F3E-4605-A195-2AF2BB70DC7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F3E-4605-A195-2AF2BB70DC7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'Question 1'!$A$9:$A$17</c:f>
              <c:strCache>
                <c:ptCount val="9"/>
                <c:pt idx="0">
                  <c:v>Food</c:v>
                </c:pt>
                <c:pt idx="1">
                  <c:v>Pan, tobacco and intoxicants</c:v>
                </c:pt>
                <c:pt idx="2">
                  <c:v>Clothing &amp; Footwear</c:v>
                </c:pt>
                <c:pt idx="3">
                  <c:v>Health</c:v>
                </c:pt>
                <c:pt idx="4">
                  <c:v>Energy</c:v>
                </c:pt>
                <c:pt idx="5">
                  <c:v>Education</c:v>
                </c:pt>
                <c:pt idx="6">
                  <c:v>Housing</c:v>
                </c:pt>
                <c:pt idx="7">
                  <c:v>Transportation</c:v>
                </c:pt>
                <c:pt idx="8">
                  <c:v>Miscellaneous</c:v>
                </c:pt>
              </c:strCache>
            </c:strRef>
          </c:cat>
          <c:val>
            <c:numRef>
              <c:f>'Question 1'!$C$9:$C$17</c:f>
              <c:numCache>
                <c:formatCode>0.00%</c:formatCode>
                <c:ptCount val="9"/>
                <c:pt idx="0">
                  <c:v>0.51728497107016103</c:v>
                </c:pt>
                <c:pt idx="1">
                  <c:v>4.8864686147712361E-2</c:v>
                </c:pt>
                <c:pt idx="2">
                  <c:v>8.9220596100549429E-2</c:v>
                </c:pt>
                <c:pt idx="3">
                  <c:v>4.5145135411095445E-2</c:v>
                </c:pt>
                <c:pt idx="4">
                  <c:v>4.4440122526377211E-2</c:v>
                </c:pt>
                <c:pt idx="5">
                  <c:v>4.305440754606895E-2</c:v>
                </c:pt>
                <c:pt idx="6">
                  <c:v>4.2689745709145722E-2</c:v>
                </c:pt>
                <c:pt idx="7">
                  <c:v>4.0064180483298496E-2</c:v>
                </c:pt>
                <c:pt idx="8">
                  <c:v>0.12923615500559146</c:v>
                </c:pt>
              </c:numCache>
            </c:numRef>
          </c:val>
          <c:extLst>
            <c:ext xmlns:c16="http://schemas.microsoft.com/office/drawing/2014/chart" uri="{C3380CC4-5D6E-409C-BE32-E72D297353CC}">
              <c16:uniqueId val="{00000000-55C8-4826-82FD-0407B334DFF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Inflation Rate (2017-2023)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'Question 2'!$L$1</c:f>
              <c:strCache>
                <c:ptCount val="1"/>
                <c:pt idx="0">
                  <c:v>YoY Inflation Rate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'Question 2'!$J$2:$J$8</c:f>
              <c:numCache>
                <c:formatCode>General</c:formatCode>
                <c:ptCount val="7"/>
                <c:pt idx="0">
                  <c:v>2017</c:v>
                </c:pt>
                <c:pt idx="1">
                  <c:v>2018</c:v>
                </c:pt>
                <c:pt idx="2">
                  <c:v>2019</c:v>
                </c:pt>
                <c:pt idx="3">
                  <c:v>2020</c:v>
                </c:pt>
                <c:pt idx="4">
                  <c:v>2021</c:v>
                </c:pt>
                <c:pt idx="5">
                  <c:v>2022</c:v>
                </c:pt>
                <c:pt idx="6">
                  <c:v>2023</c:v>
                </c:pt>
              </c:numCache>
            </c:numRef>
          </c:xVal>
          <c:yVal>
            <c:numRef>
              <c:f>'Question 2'!$L$2:$L$8</c:f>
              <c:numCache>
                <c:formatCode>0.00</c:formatCode>
                <c:ptCount val="7"/>
                <c:pt idx="1">
                  <c:v>3.9513108614232255</c:v>
                </c:pt>
                <c:pt idx="2">
                  <c:v>3.8961038961038952</c:v>
                </c:pt>
                <c:pt idx="3">
                  <c:v>4.79008606729652</c:v>
                </c:pt>
                <c:pt idx="4">
                  <c:v>6.863592551669738</c:v>
                </c:pt>
                <c:pt idx="5">
                  <c:v>6.6219354838709474</c:v>
                </c:pt>
                <c:pt idx="6">
                  <c:v>3.1774615161196791</c:v>
                </c:pt>
              </c:numCache>
            </c:numRef>
          </c:yVal>
          <c:smooth val="0"/>
          <c:extLst>
            <c:ext xmlns:c16="http://schemas.microsoft.com/office/drawing/2014/chart" uri="{C3380CC4-5D6E-409C-BE32-E72D297353CC}">
              <c16:uniqueId val="{00000000-D594-437E-B5B2-EAD00B6BB1A8}"/>
            </c:ext>
          </c:extLst>
        </c:ser>
        <c:dLbls>
          <c:dLblPos val="t"/>
          <c:showLegendKey val="0"/>
          <c:showVal val="1"/>
          <c:showCatName val="0"/>
          <c:showSerName val="0"/>
          <c:showPercent val="0"/>
          <c:showBubbleSize val="0"/>
        </c:dLbls>
        <c:axId val="1637639519"/>
        <c:axId val="1637630399"/>
      </c:scatterChart>
      <c:valAx>
        <c:axId val="163763951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solidFill>
                      <a:schemeClr val="bg1"/>
                    </a:solidFill>
                  </a:rPr>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630399"/>
        <c:crosses val="autoZero"/>
        <c:crossBetween val="midCat"/>
      </c:valAx>
      <c:valAx>
        <c:axId val="16376303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solidFill>
                      <a:schemeClr val="bg1"/>
                    </a:solidFill>
                  </a:rPr>
                  <a:t>YoY Inflation Rate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639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Trend Analysis: Broader Food &amp; Beverages Category (2022-2023)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'Question 3(A)'!$G$3</c:f>
              <c:strCache>
                <c:ptCount val="1"/>
                <c:pt idx="0">
                  <c:v>MoM Inflation 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'Question 3(A)'!$D$4:$D$15</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'Question 3(A)'!$G$4:$G$15</c:f>
              <c:numCache>
                <c:formatCode>0.00%</c:formatCode>
                <c:ptCount val="12"/>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val>
          <c:smooth val="0"/>
          <c:extLst>
            <c:ext xmlns:c16="http://schemas.microsoft.com/office/drawing/2014/chart" uri="{C3380CC4-5D6E-409C-BE32-E72D297353CC}">
              <c16:uniqueId val="{00000000-F8A2-4CBB-9719-1CC94B7722DF}"/>
            </c:ext>
          </c:extLst>
        </c:ser>
        <c:dLbls>
          <c:dLblPos val="ctr"/>
          <c:showLegendKey val="0"/>
          <c:showVal val="1"/>
          <c:showCatName val="0"/>
          <c:showSerName val="0"/>
          <c:showPercent val="0"/>
          <c:showBubbleSize val="0"/>
        </c:dLbls>
        <c:smooth val="0"/>
        <c:axId val="1637637119"/>
        <c:axId val="1637650559"/>
      </c:lineChart>
      <c:dateAx>
        <c:axId val="1637637119"/>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650559"/>
        <c:crosses val="autoZero"/>
        <c:auto val="1"/>
        <c:lblOffset val="100"/>
        <c:baseTimeUnit val="months"/>
      </c:dateAx>
      <c:valAx>
        <c:axId val="1637650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63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Inflation Trends in India (YoY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'Question 4 Solution'!$L$11</c:f>
              <c:strCache>
                <c:ptCount val="1"/>
                <c:pt idx="0">
                  <c:v>Food and beverages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'Question 4 Solution'!$K$12:$K$21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 Solution'!$L$12:$L$21</c:f>
              <c:numCache>
                <c:formatCode>0.00%</c:formatCode>
                <c:ptCount val="10"/>
                <c:pt idx="0">
                  <c:v>7.1834736662910986E-2</c:v>
                </c:pt>
                <c:pt idx="1">
                  <c:v>5.2842190779701849E-2</c:v>
                </c:pt>
                <c:pt idx="2">
                  <c:v>5.3733040257430052E-2</c:v>
                </c:pt>
                <c:pt idx="3">
                  <c:v>1.8222130379461542E-2</c:v>
                </c:pt>
                <c:pt idx="4">
                  <c:v>1.7017060683915126E-2</c:v>
                </c:pt>
                <c:pt idx="5">
                  <c:v>3.8233052491726913E-2</c:v>
                </c:pt>
                <c:pt idx="6">
                  <c:v>7.6667233429964676E-2</c:v>
                </c:pt>
                <c:pt idx="7">
                  <c:v>5.0508943725998012E-2</c:v>
                </c:pt>
                <c:pt idx="8">
                  <c:v>6.6348350451501351E-2</c:v>
                </c:pt>
                <c:pt idx="9">
                  <c:v>5.0597386558405844E-2</c:v>
                </c:pt>
              </c:numCache>
            </c:numRef>
          </c:val>
          <c:smooth val="0"/>
          <c:extLst>
            <c:ext xmlns:c16="http://schemas.microsoft.com/office/drawing/2014/chart" uri="{C3380CC4-5D6E-409C-BE32-E72D297353CC}">
              <c16:uniqueId val="{00000000-38FA-4590-8417-2E519E15B8C2}"/>
            </c:ext>
          </c:extLst>
        </c:ser>
        <c:ser>
          <c:idx val="1"/>
          <c:order val="1"/>
          <c:tx>
            <c:strRef>
              <c:f>'Question 4 Solution'!$M$11</c:f>
              <c:strCache>
                <c:ptCount val="1"/>
                <c:pt idx="0">
                  <c:v>Health Care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'Question 4 Solution'!$K$12:$K$21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 Solution'!$M$12:$M$21</c:f>
              <c:numCache>
                <c:formatCode>0.00%</c:formatCode>
                <c:ptCount val="10"/>
                <c:pt idx="0">
                  <c:v>5.5088974113726839E-2</c:v>
                </c:pt>
                <c:pt idx="1">
                  <c:v>5.2502267783417378E-2</c:v>
                </c:pt>
                <c:pt idx="2">
                  <c:v>4.9114176354564575E-2</c:v>
                </c:pt>
                <c:pt idx="3">
                  <c:v>4.1511277150606971E-2</c:v>
                </c:pt>
                <c:pt idx="4">
                  <c:v>6.1919046780641841E-2</c:v>
                </c:pt>
                <c:pt idx="5">
                  <c:v>8.0033677482878221E-2</c:v>
                </c:pt>
                <c:pt idx="6">
                  <c:v>3.6588631115471212E-2</c:v>
                </c:pt>
                <c:pt idx="7">
                  <c:v>8.4660072603131187E-2</c:v>
                </c:pt>
                <c:pt idx="8">
                  <c:v>6.094058800626951E-2</c:v>
                </c:pt>
                <c:pt idx="9">
                  <c:v>6.5182621524913484E-2</c:v>
                </c:pt>
              </c:numCache>
            </c:numRef>
          </c:val>
          <c:smooth val="0"/>
          <c:extLst>
            <c:ext xmlns:c16="http://schemas.microsoft.com/office/drawing/2014/chart" uri="{C3380CC4-5D6E-409C-BE32-E72D297353CC}">
              <c16:uniqueId val="{00000001-38FA-4590-8417-2E519E15B8C2}"/>
            </c:ext>
          </c:extLst>
        </c:ser>
        <c:ser>
          <c:idx val="2"/>
          <c:order val="2"/>
          <c:tx>
            <c:strRef>
              <c:f>'Question 4 Solution'!$N$11</c:f>
              <c:strCache>
                <c:ptCount val="1"/>
                <c:pt idx="0">
                  <c:v>Essential Sevices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'Question 4 Solution'!$K$12:$K$21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 Solution'!$N$12:$N$21</c:f>
              <c:numCache>
                <c:formatCode>0.00%</c:formatCode>
                <c:ptCount val="10"/>
                <c:pt idx="0">
                  <c:v>6.2781954880144861E-2</c:v>
                </c:pt>
                <c:pt idx="1">
                  <c:v>4.1187971258774256E-2</c:v>
                </c:pt>
                <c:pt idx="2">
                  <c:v>4.0593537133652928E-2</c:v>
                </c:pt>
                <c:pt idx="3">
                  <c:v>4.8967835400975594E-2</c:v>
                </c:pt>
                <c:pt idx="4">
                  <c:v>6.3951028753366765E-2</c:v>
                </c:pt>
                <c:pt idx="5">
                  <c:v>3.712417498315241E-2</c:v>
                </c:pt>
                <c:pt idx="6">
                  <c:v>3.3673286003810664E-2</c:v>
                </c:pt>
                <c:pt idx="7">
                  <c:v>7.6352205037083801E-2</c:v>
                </c:pt>
                <c:pt idx="8">
                  <c:v>6.4573563216007088E-2</c:v>
                </c:pt>
                <c:pt idx="9">
                  <c:v>5.4051098125407149E-2</c:v>
                </c:pt>
              </c:numCache>
            </c:numRef>
          </c:val>
          <c:smooth val="0"/>
          <c:extLst>
            <c:ext xmlns:c16="http://schemas.microsoft.com/office/drawing/2014/chart" uri="{C3380CC4-5D6E-409C-BE32-E72D297353CC}">
              <c16:uniqueId val="{00000002-38FA-4590-8417-2E519E15B8C2}"/>
            </c:ext>
          </c:extLst>
        </c:ser>
        <c:ser>
          <c:idx val="3"/>
          <c:order val="3"/>
          <c:tx>
            <c:strRef>
              <c:f>'Question 4 Solution'!$O$11</c:f>
              <c:strCache>
                <c:ptCount val="1"/>
                <c:pt idx="0">
                  <c:v>General </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'Question 4 Solution'!$K$12:$K$21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 Solution'!$O$12:$O$21</c:f>
              <c:numCache>
                <c:formatCode>0.00%</c:formatCode>
                <c:ptCount val="10"/>
                <c:pt idx="0">
                  <c:v>6.7099724254934809E-2</c:v>
                </c:pt>
                <c:pt idx="1">
                  <c:v>4.9128370614229339E-2</c:v>
                </c:pt>
                <c:pt idx="2">
                  <c:v>4.9603637427423665E-2</c:v>
                </c:pt>
                <c:pt idx="3">
                  <c:v>3.327388537536536E-2</c:v>
                </c:pt>
                <c:pt idx="4">
                  <c:v>3.9676971910429099E-2</c:v>
                </c:pt>
                <c:pt idx="5">
                  <c:v>3.9729559917622899E-2</c:v>
                </c:pt>
                <c:pt idx="6">
                  <c:v>5.0210109886023535E-2</c:v>
                </c:pt>
                <c:pt idx="7">
                  <c:v>6.9717453873728505E-2</c:v>
                </c:pt>
                <c:pt idx="8">
                  <c:v>6.6240649804989227E-2</c:v>
                </c:pt>
                <c:pt idx="9">
                  <c:v>5.5756721664536081E-2</c:v>
                </c:pt>
              </c:numCache>
            </c:numRef>
          </c:val>
          <c:smooth val="0"/>
          <c:extLst>
            <c:ext xmlns:c16="http://schemas.microsoft.com/office/drawing/2014/chart" uri="{C3380CC4-5D6E-409C-BE32-E72D297353CC}">
              <c16:uniqueId val="{00000003-38FA-4590-8417-2E519E15B8C2}"/>
            </c:ext>
          </c:extLst>
        </c:ser>
        <c:dLbls>
          <c:showLegendKey val="0"/>
          <c:showVal val="0"/>
          <c:showCatName val="0"/>
          <c:showSerName val="0"/>
          <c:showPercent val="0"/>
          <c:showBubbleSize val="0"/>
        </c:dLbls>
        <c:smooth val="0"/>
        <c:axId val="38827631"/>
        <c:axId val="38828111"/>
      </c:lineChart>
      <c:catAx>
        <c:axId val="388276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828111"/>
        <c:crossesAt val="0"/>
        <c:auto val="1"/>
        <c:lblAlgn val="ctr"/>
        <c:lblOffset val="100"/>
        <c:noMultiLvlLbl val="0"/>
      </c:catAx>
      <c:valAx>
        <c:axId val="388281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Inflation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82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Broder Category Contribution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'Question 1'!$C$8</c:f>
              <c:strCache>
                <c:ptCount val="1"/>
                <c:pt idx="0">
                  <c:v>Contribution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4FA-4460-BE25-7028443BB9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4FA-4460-BE25-7028443BB9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4FA-4460-BE25-7028443BB9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4FA-4460-BE25-7028443BB9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4FA-4460-BE25-7028443BB9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4FA-4460-BE25-7028443BB9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4FA-4460-BE25-7028443BB9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4FA-4460-BE25-7028443BB9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4FA-4460-BE25-7028443BB9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 1'!$A$9:$A$17</c:f>
              <c:strCache>
                <c:ptCount val="9"/>
                <c:pt idx="0">
                  <c:v>Food</c:v>
                </c:pt>
                <c:pt idx="1">
                  <c:v>Pan, tobacco and intoxicants</c:v>
                </c:pt>
                <c:pt idx="2">
                  <c:v>Clothing &amp; Footwear</c:v>
                </c:pt>
                <c:pt idx="3">
                  <c:v>Health</c:v>
                </c:pt>
                <c:pt idx="4">
                  <c:v>Energy</c:v>
                </c:pt>
                <c:pt idx="5">
                  <c:v>Education</c:v>
                </c:pt>
                <c:pt idx="6">
                  <c:v>Housing</c:v>
                </c:pt>
                <c:pt idx="7">
                  <c:v>Transportation</c:v>
                </c:pt>
                <c:pt idx="8">
                  <c:v>Miscellaneous</c:v>
                </c:pt>
              </c:strCache>
            </c:strRef>
          </c:cat>
          <c:val>
            <c:numRef>
              <c:f>'Question 1'!$C$9:$C$17</c:f>
              <c:numCache>
                <c:formatCode>0.00%</c:formatCode>
                <c:ptCount val="9"/>
                <c:pt idx="0">
                  <c:v>0.51728497107016103</c:v>
                </c:pt>
                <c:pt idx="1">
                  <c:v>4.8864686147712361E-2</c:v>
                </c:pt>
                <c:pt idx="2">
                  <c:v>8.9220596100549429E-2</c:v>
                </c:pt>
                <c:pt idx="3">
                  <c:v>4.5145135411095445E-2</c:v>
                </c:pt>
                <c:pt idx="4">
                  <c:v>4.4440122526377211E-2</c:v>
                </c:pt>
                <c:pt idx="5">
                  <c:v>4.305440754606895E-2</c:v>
                </c:pt>
                <c:pt idx="6">
                  <c:v>4.2689745709145722E-2</c:v>
                </c:pt>
                <c:pt idx="7">
                  <c:v>4.0064180483298496E-2</c:v>
                </c:pt>
                <c:pt idx="8">
                  <c:v>0.12923615500559146</c:v>
                </c:pt>
              </c:numCache>
            </c:numRef>
          </c:val>
          <c:extLst>
            <c:ext xmlns:c16="http://schemas.microsoft.com/office/drawing/2014/chart" uri="{C3380CC4-5D6E-409C-BE32-E72D297353CC}">
              <c16:uniqueId val="{00000012-D4FA-4460-BE25-7028443BB9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Inflation Trends in India (YoY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'Question 4 Solution'!$L$11</c:f>
              <c:strCache>
                <c:ptCount val="1"/>
                <c:pt idx="0">
                  <c:v>Food and beverages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'Question 4 Solution'!$K$12:$K$21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 Solution'!$L$12:$L$21</c:f>
              <c:numCache>
                <c:formatCode>0.00%</c:formatCode>
                <c:ptCount val="10"/>
                <c:pt idx="0">
                  <c:v>7.1834736662910986E-2</c:v>
                </c:pt>
                <c:pt idx="1">
                  <c:v>5.2842190779701849E-2</c:v>
                </c:pt>
                <c:pt idx="2">
                  <c:v>5.3733040257430052E-2</c:v>
                </c:pt>
                <c:pt idx="3">
                  <c:v>1.8222130379461542E-2</c:v>
                </c:pt>
                <c:pt idx="4">
                  <c:v>1.7017060683915126E-2</c:v>
                </c:pt>
                <c:pt idx="5">
                  <c:v>3.8233052491726913E-2</c:v>
                </c:pt>
                <c:pt idx="6">
                  <c:v>7.6667233429964676E-2</c:v>
                </c:pt>
                <c:pt idx="7">
                  <c:v>5.0508943725998012E-2</c:v>
                </c:pt>
                <c:pt idx="8">
                  <c:v>6.6348350451501351E-2</c:v>
                </c:pt>
                <c:pt idx="9">
                  <c:v>5.0597386558405844E-2</c:v>
                </c:pt>
              </c:numCache>
            </c:numRef>
          </c:val>
          <c:smooth val="0"/>
          <c:extLst>
            <c:ext xmlns:c16="http://schemas.microsoft.com/office/drawing/2014/chart" uri="{C3380CC4-5D6E-409C-BE32-E72D297353CC}">
              <c16:uniqueId val="{00000000-C7CF-4B23-B738-5275459C2E21}"/>
            </c:ext>
          </c:extLst>
        </c:ser>
        <c:ser>
          <c:idx val="1"/>
          <c:order val="1"/>
          <c:tx>
            <c:strRef>
              <c:f>'Question 4 Solution'!$M$11</c:f>
              <c:strCache>
                <c:ptCount val="1"/>
                <c:pt idx="0">
                  <c:v>Health Care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'Question 4 Solution'!$K$12:$K$21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 Solution'!$M$12:$M$21</c:f>
              <c:numCache>
                <c:formatCode>0.00%</c:formatCode>
                <c:ptCount val="10"/>
                <c:pt idx="0">
                  <c:v>5.5088974113726839E-2</c:v>
                </c:pt>
                <c:pt idx="1">
                  <c:v>5.2502267783417378E-2</c:v>
                </c:pt>
                <c:pt idx="2">
                  <c:v>4.9114176354564575E-2</c:v>
                </c:pt>
                <c:pt idx="3">
                  <c:v>4.1511277150606971E-2</c:v>
                </c:pt>
                <c:pt idx="4">
                  <c:v>6.1919046780641841E-2</c:v>
                </c:pt>
                <c:pt idx="5">
                  <c:v>8.0033677482878221E-2</c:v>
                </c:pt>
                <c:pt idx="6">
                  <c:v>3.6588631115471212E-2</c:v>
                </c:pt>
                <c:pt idx="7">
                  <c:v>8.4660072603131187E-2</c:v>
                </c:pt>
                <c:pt idx="8">
                  <c:v>6.094058800626951E-2</c:v>
                </c:pt>
                <c:pt idx="9">
                  <c:v>6.5182621524913484E-2</c:v>
                </c:pt>
              </c:numCache>
            </c:numRef>
          </c:val>
          <c:smooth val="0"/>
          <c:extLst>
            <c:ext xmlns:c16="http://schemas.microsoft.com/office/drawing/2014/chart" uri="{C3380CC4-5D6E-409C-BE32-E72D297353CC}">
              <c16:uniqueId val="{00000001-C7CF-4B23-B738-5275459C2E21}"/>
            </c:ext>
          </c:extLst>
        </c:ser>
        <c:ser>
          <c:idx val="2"/>
          <c:order val="2"/>
          <c:tx>
            <c:strRef>
              <c:f>'Question 4 Solution'!$N$11</c:f>
              <c:strCache>
                <c:ptCount val="1"/>
                <c:pt idx="0">
                  <c:v>Essential Sevices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'Question 4 Solution'!$K$12:$K$21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 Solution'!$N$12:$N$21</c:f>
              <c:numCache>
                <c:formatCode>0.00%</c:formatCode>
                <c:ptCount val="10"/>
                <c:pt idx="0">
                  <c:v>6.2781954880144861E-2</c:v>
                </c:pt>
                <c:pt idx="1">
                  <c:v>4.1187971258774256E-2</c:v>
                </c:pt>
                <c:pt idx="2">
                  <c:v>4.0593537133652928E-2</c:v>
                </c:pt>
                <c:pt idx="3">
                  <c:v>4.8967835400975594E-2</c:v>
                </c:pt>
                <c:pt idx="4">
                  <c:v>6.3951028753366765E-2</c:v>
                </c:pt>
                <c:pt idx="5">
                  <c:v>3.712417498315241E-2</c:v>
                </c:pt>
                <c:pt idx="6">
                  <c:v>3.3673286003810664E-2</c:v>
                </c:pt>
                <c:pt idx="7">
                  <c:v>7.6352205037083801E-2</c:v>
                </c:pt>
                <c:pt idx="8">
                  <c:v>6.4573563216007088E-2</c:v>
                </c:pt>
                <c:pt idx="9">
                  <c:v>5.4051098125407149E-2</c:v>
                </c:pt>
              </c:numCache>
            </c:numRef>
          </c:val>
          <c:smooth val="0"/>
          <c:extLst>
            <c:ext xmlns:c16="http://schemas.microsoft.com/office/drawing/2014/chart" uri="{C3380CC4-5D6E-409C-BE32-E72D297353CC}">
              <c16:uniqueId val="{00000002-C7CF-4B23-B738-5275459C2E21}"/>
            </c:ext>
          </c:extLst>
        </c:ser>
        <c:ser>
          <c:idx val="3"/>
          <c:order val="3"/>
          <c:tx>
            <c:strRef>
              <c:f>'Question 4 Solution'!$O$11</c:f>
              <c:strCache>
                <c:ptCount val="1"/>
                <c:pt idx="0">
                  <c:v>General </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'Question 4 Solution'!$K$12:$K$21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 Solution'!$O$12:$O$21</c:f>
              <c:numCache>
                <c:formatCode>0.00%</c:formatCode>
                <c:ptCount val="10"/>
                <c:pt idx="0">
                  <c:v>6.7099724254934809E-2</c:v>
                </c:pt>
                <c:pt idx="1">
                  <c:v>4.9128370614229339E-2</c:v>
                </c:pt>
                <c:pt idx="2">
                  <c:v>4.9603637427423665E-2</c:v>
                </c:pt>
                <c:pt idx="3">
                  <c:v>3.327388537536536E-2</c:v>
                </c:pt>
                <c:pt idx="4">
                  <c:v>3.9676971910429099E-2</c:v>
                </c:pt>
                <c:pt idx="5">
                  <c:v>3.9729559917622899E-2</c:v>
                </c:pt>
                <c:pt idx="6">
                  <c:v>5.0210109886023535E-2</c:v>
                </c:pt>
                <c:pt idx="7">
                  <c:v>6.9717453873728505E-2</c:v>
                </c:pt>
                <c:pt idx="8">
                  <c:v>6.6240649804989227E-2</c:v>
                </c:pt>
                <c:pt idx="9">
                  <c:v>5.5756721664536081E-2</c:v>
                </c:pt>
              </c:numCache>
            </c:numRef>
          </c:val>
          <c:smooth val="0"/>
          <c:extLst>
            <c:ext xmlns:c16="http://schemas.microsoft.com/office/drawing/2014/chart" uri="{C3380CC4-5D6E-409C-BE32-E72D297353CC}">
              <c16:uniqueId val="{00000003-C7CF-4B23-B738-5275459C2E21}"/>
            </c:ext>
          </c:extLst>
        </c:ser>
        <c:dLbls>
          <c:showLegendKey val="0"/>
          <c:showVal val="0"/>
          <c:showCatName val="0"/>
          <c:showSerName val="0"/>
          <c:showPercent val="0"/>
          <c:showBubbleSize val="0"/>
        </c:dLbls>
        <c:smooth val="0"/>
        <c:axId val="38827631"/>
        <c:axId val="38828111"/>
      </c:lineChart>
      <c:catAx>
        <c:axId val="388276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828111"/>
        <c:crossesAt val="0"/>
        <c:auto val="1"/>
        <c:lblAlgn val="ctr"/>
        <c:lblOffset val="100"/>
        <c:noMultiLvlLbl val="0"/>
      </c:catAx>
      <c:valAx>
        <c:axId val="388281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Inflation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82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5875">
      <a:solidFill>
        <a:schemeClr val="tx1"/>
      </a:solidFill>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Trend Analysis: Broader Food &amp; Beverages Category (2022-2023)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'Question 3(A)'!$G$3</c:f>
              <c:strCache>
                <c:ptCount val="1"/>
                <c:pt idx="0">
                  <c:v>MoM Inflation 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'Question 3(A)'!$D$4:$D$15</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'Question 3(A)'!$G$4:$G$15</c:f>
              <c:numCache>
                <c:formatCode>0.00%</c:formatCode>
                <c:ptCount val="12"/>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val>
          <c:smooth val="0"/>
          <c:extLst>
            <c:ext xmlns:c16="http://schemas.microsoft.com/office/drawing/2014/chart" uri="{C3380CC4-5D6E-409C-BE32-E72D297353CC}">
              <c16:uniqueId val="{00000000-ED38-46D7-9F8C-CC009F707111}"/>
            </c:ext>
          </c:extLst>
        </c:ser>
        <c:dLbls>
          <c:dLblPos val="ctr"/>
          <c:showLegendKey val="0"/>
          <c:showVal val="1"/>
          <c:showCatName val="0"/>
          <c:showSerName val="0"/>
          <c:showPercent val="0"/>
          <c:showBubbleSize val="0"/>
        </c:dLbls>
        <c:smooth val="0"/>
        <c:axId val="1637637119"/>
        <c:axId val="1637650559"/>
      </c:lineChart>
      <c:dateAx>
        <c:axId val="1637637119"/>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650559"/>
        <c:crosses val="autoZero"/>
        <c:auto val="1"/>
        <c:lblOffset val="100"/>
        <c:baseTimeUnit val="months"/>
      </c:dateAx>
      <c:valAx>
        <c:axId val="1637650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63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5875">
      <a:solidFill>
        <a:schemeClr val="tx1"/>
      </a:solid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Inflation Rate (2017-2023)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'Question 2'!$L$1</c:f>
              <c:strCache>
                <c:ptCount val="1"/>
                <c:pt idx="0">
                  <c:v>YoY Inflation Rate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'Question 2'!$J$2:$J$8</c:f>
              <c:numCache>
                <c:formatCode>General</c:formatCode>
                <c:ptCount val="7"/>
                <c:pt idx="0">
                  <c:v>2017</c:v>
                </c:pt>
                <c:pt idx="1">
                  <c:v>2018</c:v>
                </c:pt>
                <c:pt idx="2">
                  <c:v>2019</c:v>
                </c:pt>
                <c:pt idx="3">
                  <c:v>2020</c:v>
                </c:pt>
                <c:pt idx="4">
                  <c:v>2021</c:v>
                </c:pt>
                <c:pt idx="5">
                  <c:v>2022</c:v>
                </c:pt>
                <c:pt idx="6">
                  <c:v>2023</c:v>
                </c:pt>
              </c:numCache>
            </c:numRef>
          </c:xVal>
          <c:yVal>
            <c:numRef>
              <c:f>'Question 2'!$L$2:$L$8</c:f>
              <c:numCache>
                <c:formatCode>0.00</c:formatCode>
                <c:ptCount val="7"/>
                <c:pt idx="1">
                  <c:v>3.9513108614232255</c:v>
                </c:pt>
                <c:pt idx="2">
                  <c:v>3.8961038961038952</c:v>
                </c:pt>
                <c:pt idx="3">
                  <c:v>4.79008606729652</c:v>
                </c:pt>
                <c:pt idx="4">
                  <c:v>6.863592551669738</c:v>
                </c:pt>
                <c:pt idx="5">
                  <c:v>6.6219354838709474</c:v>
                </c:pt>
                <c:pt idx="6">
                  <c:v>3.1774615161196791</c:v>
                </c:pt>
              </c:numCache>
            </c:numRef>
          </c:yVal>
          <c:smooth val="0"/>
          <c:extLst>
            <c:ext xmlns:c16="http://schemas.microsoft.com/office/drawing/2014/chart" uri="{C3380CC4-5D6E-409C-BE32-E72D297353CC}">
              <c16:uniqueId val="{00000000-CA2B-4EBF-9313-F1FFBCEAD773}"/>
            </c:ext>
          </c:extLst>
        </c:ser>
        <c:dLbls>
          <c:dLblPos val="t"/>
          <c:showLegendKey val="0"/>
          <c:showVal val="1"/>
          <c:showCatName val="0"/>
          <c:showSerName val="0"/>
          <c:showPercent val="0"/>
          <c:showBubbleSize val="0"/>
        </c:dLbls>
        <c:axId val="1637639519"/>
        <c:axId val="1637630399"/>
      </c:scatterChart>
      <c:valAx>
        <c:axId val="163763951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solidFill>
                      <a:schemeClr val="bg1"/>
                    </a:solidFill>
                  </a:rPr>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630399"/>
        <c:crosses val="autoZero"/>
        <c:crossBetween val="midCat"/>
      </c:valAx>
      <c:valAx>
        <c:axId val="16376303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solidFill>
                      <a:schemeClr val="bg1"/>
                    </a:solidFill>
                  </a:rPr>
                  <a:t>YoY Inflation Rate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639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5875">
      <a:solidFill>
        <a:schemeClr val="tx1"/>
      </a:solid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16043</xdr:colOff>
      <xdr:row>5</xdr:row>
      <xdr:rowOff>16041</xdr:rowOff>
    </xdr:from>
    <xdr:to>
      <xdr:col>9</xdr:col>
      <xdr:colOff>368969</xdr:colOff>
      <xdr:row>17</xdr:row>
      <xdr:rowOff>128336</xdr:rowOff>
    </xdr:to>
    <xdr:graphicFrame macro="">
      <xdr:nvGraphicFramePr>
        <xdr:cNvPr id="2" name="Chart 1">
          <a:extLst>
            <a:ext uri="{FF2B5EF4-FFF2-40B4-BE49-F238E27FC236}">
              <a16:creationId xmlns:a16="http://schemas.microsoft.com/office/drawing/2014/main" id="{C7125242-CA00-372D-EF59-A1B65631D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312420</xdr:colOff>
      <xdr:row>9</xdr:row>
      <xdr:rowOff>140970</xdr:rowOff>
    </xdr:from>
    <xdr:to>
      <xdr:col>13</xdr:col>
      <xdr:colOff>83820</xdr:colOff>
      <xdr:row>24</xdr:row>
      <xdr:rowOff>140970</xdr:rowOff>
    </xdr:to>
    <xdr:graphicFrame macro="">
      <xdr:nvGraphicFramePr>
        <xdr:cNvPr id="2" name="Chart 1">
          <a:extLst>
            <a:ext uri="{FF2B5EF4-FFF2-40B4-BE49-F238E27FC236}">
              <a16:creationId xmlns:a16="http://schemas.microsoft.com/office/drawing/2014/main" id="{B85AEE84-6A35-926B-8F32-5BA2CDBD8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16</xdr:row>
      <xdr:rowOff>57150</xdr:rowOff>
    </xdr:from>
    <xdr:to>
      <xdr:col>7</xdr:col>
      <xdr:colOff>441960</xdr:colOff>
      <xdr:row>33</xdr:row>
      <xdr:rowOff>7620</xdr:rowOff>
    </xdr:to>
    <xdr:graphicFrame macro="">
      <xdr:nvGraphicFramePr>
        <xdr:cNvPr id="4" name="Chart 3">
          <a:extLst>
            <a:ext uri="{FF2B5EF4-FFF2-40B4-BE49-F238E27FC236}">
              <a16:creationId xmlns:a16="http://schemas.microsoft.com/office/drawing/2014/main" id="{79373DA4-DE22-70CA-4569-E8C4532A6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xdr:colOff>
      <xdr:row>22</xdr:row>
      <xdr:rowOff>57150</xdr:rowOff>
    </xdr:from>
    <xdr:to>
      <xdr:col>14</xdr:col>
      <xdr:colOff>15240</xdr:colOff>
      <xdr:row>37</xdr:row>
      <xdr:rowOff>57150</xdr:rowOff>
    </xdr:to>
    <xdr:graphicFrame macro="">
      <xdr:nvGraphicFramePr>
        <xdr:cNvPr id="2" name="Chart 1">
          <a:extLst>
            <a:ext uri="{FF2B5EF4-FFF2-40B4-BE49-F238E27FC236}">
              <a16:creationId xmlns:a16="http://schemas.microsoft.com/office/drawing/2014/main" id="{0903289E-8E31-261E-AD21-C98232BD8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746760</xdr:colOff>
      <xdr:row>26</xdr:row>
      <xdr:rowOff>76200</xdr:rowOff>
    </xdr:from>
    <xdr:to>
      <xdr:col>12</xdr:col>
      <xdr:colOff>762000</xdr:colOff>
      <xdr:row>38</xdr:row>
      <xdr:rowOff>106680</xdr:rowOff>
    </xdr:to>
    <xdr:cxnSp macro="">
      <xdr:nvCxnSpPr>
        <xdr:cNvPr id="4" name="Straight Arrow Connector 3">
          <a:extLst>
            <a:ext uri="{FF2B5EF4-FFF2-40B4-BE49-F238E27FC236}">
              <a16:creationId xmlns:a16="http://schemas.microsoft.com/office/drawing/2014/main" id="{CAD97E72-1A35-DAF0-3A8F-0ECB8A534191}"/>
            </a:ext>
          </a:extLst>
        </xdr:cNvPr>
        <xdr:cNvCxnSpPr/>
      </xdr:nvCxnSpPr>
      <xdr:spPr>
        <a:xfrm flipH="1">
          <a:off x="11849100" y="4815840"/>
          <a:ext cx="15240" cy="22250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297180</xdr:colOff>
      <xdr:row>38</xdr:row>
      <xdr:rowOff>160020</xdr:rowOff>
    </xdr:from>
    <xdr:to>
      <xdr:col>13</xdr:col>
      <xdr:colOff>243840</xdr:colOff>
      <xdr:row>41</xdr:row>
      <xdr:rowOff>53340</xdr:rowOff>
    </xdr:to>
    <xdr:sp macro="" textlink="">
      <xdr:nvSpPr>
        <xdr:cNvPr id="6" name="TextBox 5">
          <a:extLst>
            <a:ext uri="{FF2B5EF4-FFF2-40B4-BE49-F238E27FC236}">
              <a16:creationId xmlns:a16="http://schemas.microsoft.com/office/drawing/2014/main" id="{E3F6251D-50F6-D62A-CB50-4B31D2606084}"/>
            </a:ext>
          </a:extLst>
        </xdr:cNvPr>
        <xdr:cNvSpPr txBox="1"/>
      </xdr:nvSpPr>
      <xdr:spPr>
        <a:xfrm>
          <a:off x="11399520" y="7094220"/>
          <a:ext cx="990600" cy="44196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100"/>
            <a:t>Mar-2020</a:t>
          </a:r>
        </a:p>
        <a:p>
          <a:pPr algn="ctr"/>
          <a:r>
            <a:rPr lang="en-IN" sz="1100"/>
            <a:t>"Covid - 19"</a:t>
          </a:r>
        </a:p>
      </xdr:txBody>
    </xdr:sp>
    <xdr:clientData/>
  </xdr:twoCellAnchor>
  <xdr:twoCellAnchor>
    <xdr:from>
      <xdr:col>15</xdr:col>
      <xdr:colOff>457200</xdr:colOff>
      <xdr:row>1</xdr:row>
      <xdr:rowOff>45720</xdr:rowOff>
    </xdr:from>
    <xdr:to>
      <xdr:col>18</xdr:col>
      <xdr:colOff>1135380</xdr:colOff>
      <xdr:row>22</xdr:row>
      <xdr:rowOff>53340</xdr:rowOff>
    </xdr:to>
    <xdr:sp macro="" textlink="">
      <xdr:nvSpPr>
        <xdr:cNvPr id="7" name="TextBox 6">
          <a:extLst>
            <a:ext uri="{FF2B5EF4-FFF2-40B4-BE49-F238E27FC236}">
              <a16:creationId xmlns:a16="http://schemas.microsoft.com/office/drawing/2014/main" id="{9E9F9F3A-28C1-9636-6F1A-CFE64003A66A}"/>
            </a:ext>
          </a:extLst>
        </xdr:cNvPr>
        <xdr:cNvSpPr txBox="1"/>
      </xdr:nvSpPr>
      <xdr:spPr>
        <a:xfrm>
          <a:off x="14455140" y="220980"/>
          <a:ext cx="5867400" cy="3840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t>Key Insights on COVID-19 Impact on Inflation in India</a:t>
          </a:r>
        </a:p>
        <a:p>
          <a:endParaRPr lang="en-IN" b="1"/>
        </a:p>
        <a:p>
          <a:r>
            <a:rPr lang="en-IN" b="1"/>
            <a:t>1. Clear change in inflation trend after March 2020 (COVID onset)</a:t>
          </a:r>
          <a:r>
            <a:rPr lang="en-IN" b="0" baseline="0"/>
            <a:t> - </a:t>
          </a:r>
          <a:r>
            <a:rPr lang="en-IN"/>
            <a:t>The line chart shows a noticeable shift after </a:t>
          </a:r>
          <a:r>
            <a:rPr lang="en-IN" b="1"/>
            <a:t>Mar’20</a:t>
          </a:r>
          <a:r>
            <a:rPr lang="en-IN"/>
            <a:t>, indicating that COVID-19 and the first lockdown created a </a:t>
          </a:r>
          <a:r>
            <a:rPr lang="en-IN" b="1"/>
            <a:t>structural break</a:t>
          </a:r>
          <a:r>
            <a:rPr lang="en-IN"/>
            <a:t> in inflation trends across most CPI categories.</a:t>
          </a:r>
        </a:p>
        <a:p>
          <a:endParaRPr lang="en-IN"/>
        </a:p>
        <a:p>
          <a:r>
            <a:rPr lang="en-IN" b="1"/>
            <a:t>2. Food inflation increased sharply during the first lockdown</a:t>
          </a:r>
          <a:r>
            <a:rPr lang="en-IN" b="0" baseline="0"/>
            <a:t> -</a:t>
          </a:r>
          <a:r>
            <a:rPr lang="en-IN"/>
            <a:t>Food &amp; beverages inflation jumped from </a:t>
          </a:r>
          <a:r>
            <a:rPr lang="en-IN" b="1"/>
            <a:t>3.82% in 2019 to 7.67% in 2020</a:t>
          </a:r>
          <a:r>
            <a:rPr lang="en-IN"/>
            <a:t>, mainly due to </a:t>
          </a:r>
          <a:r>
            <a:rPr lang="en-IN" b="1"/>
            <a:t>supply chain disruptions, transport restrictions, and panic buying</a:t>
          </a:r>
          <a:r>
            <a:rPr lang="en-IN"/>
            <a:t> during the lockdown period.</a:t>
          </a:r>
        </a:p>
        <a:p>
          <a:endParaRPr lang="en-IN"/>
        </a:p>
        <a:p>
          <a:r>
            <a:rPr lang="en-IN" b="1"/>
            <a:t>3. Healthcare inflation spiked after the pandemic progressed</a:t>
          </a:r>
          <a:r>
            <a:rPr lang="en-IN" b="0" baseline="0"/>
            <a:t> - </a:t>
          </a:r>
          <a:r>
            <a:rPr lang="en-IN"/>
            <a:t>Healthcare inflation initially fell in 2020 but </a:t>
          </a:r>
          <a:r>
            <a:rPr lang="en-IN" b="1"/>
            <a:t>rose sharply to 8.47% in 2021</a:t>
          </a:r>
          <a:r>
            <a:rPr lang="en-IN"/>
            <a:t>, reflecting </a:t>
          </a:r>
          <a:r>
            <a:rPr lang="en-IN" b="1"/>
            <a:t>higher medical demand, hospital charges, medicines, and COVID-related healthcare costs</a:t>
          </a:r>
          <a:r>
            <a:rPr lang="en-IN"/>
            <a:t>.</a:t>
          </a:r>
        </a:p>
        <a:p>
          <a:endParaRPr lang="en-IN"/>
        </a:p>
        <a:p>
          <a:r>
            <a:rPr lang="en-IN" b="1"/>
            <a:t>4. Essential services saw strong inflationary pressure post-COVID</a:t>
          </a:r>
          <a:r>
            <a:rPr lang="en-IN" b="0" baseline="0"/>
            <a:t> -</a:t>
          </a:r>
          <a:r>
            <a:rPr lang="en-IN"/>
            <a:t>Essential services inflation  increased significantly from </a:t>
          </a:r>
          <a:r>
            <a:rPr lang="en-IN" b="1"/>
            <a:t>3.37% in 2020 to 7.64% in 2021</a:t>
          </a:r>
          <a:r>
            <a:rPr lang="en-IN"/>
            <a:t>, driven by </a:t>
          </a:r>
          <a:r>
            <a:rPr lang="en-IN" b="1"/>
            <a:t>fuel price hikes, logistics issues, and increased operating costs</a:t>
          </a:r>
          <a:r>
            <a:rPr lang="en-IN"/>
            <a:t>.</a:t>
          </a:r>
        </a:p>
        <a:p>
          <a:endParaRPr lang="en-IN"/>
        </a:p>
        <a:p>
          <a:r>
            <a:rPr lang="en-IN" b="1"/>
            <a:t>5. Overall (General) inflation remained elevated after COVID</a:t>
          </a:r>
          <a:r>
            <a:rPr lang="en-IN" b="0" baseline="0"/>
            <a:t> -</a:t>
          </a:r>
          <a:r>
            <a:rPr lang="en-IN"/>
            <a:t>General CPI inflation rose from </a:t>
          </a:r>
          <a:r>
            <a:rPr lang="en-IN" b="1"/>
            <a:t>3.97% in 2019 to above 6% during 2021–2022</a:t>
          </a:r>
          <a:r>
            <a:rPr lang="en-IN"/>
            <a:t>, showing that the pandemic led to </a:t>
          </a:r>
          <a:r>
            <a:rPr lang="en-IN" b="1"/>
            <a:t>broad-based and persistent inflation</a:t>
          </a:r>
          <a:r>
            <a:rPr lang="en-IN"/>
            <a:t>, not limited to a single category.</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58615</xdr:colOff>
      <xdr:row>38</xdr:row>
      <xdr:rowOff>17585</xdr:rowOff>
    </xdr:from>
    <xdr:to>
      <xdr:col>7</xdr:col>
      <xdr:colOff>252047</xdr:colOff>
      <xdr:row>55</xdr:row>
      <xdr:rowOff>23446</xdr:rowOff>
    </xdr:to>
    <xdr:sp macro="" textlink="">
      <xdr:nvSpPr>
        <xdr:cNvPr id="2" name="TextBox 1">
          <a:extLst>
            <a:ext uri="{FF2B5EF4-FFF2-40B4-BE49-F238E27FC236}">
              <a16:creationId xmlns:a16="http://schemas.microsoft.com/office/drawing/2014/main" id="{DBD14B00-D0F9-7815-7059-B5B5D27DC917}"/>
            </a:ext>
          </a:extLst>
        </xdr:cNvPr>
        <xdr:cNvSpPr txBox="1"/>
      </xdr:nvSpPr>
      <xdr:spPr>
        <a:xfrm>
          <a:off x="58615" y="6899031"/>
          <a:ext cx="6043247" cy="299524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b="1"/>
            <a:t>Conclusions-</a:t>
          </a:r>
        </a:p>
        <a:p>
          <a:endParaRPr lang="en-IN" sz="1200" b="1"/>
        </a:p>
        <a:p>
          <a:r>
            <a:rPr lang="en-IN" sz="1100">
              <a:solidFill>
                <a:schemeClr val="dk1"/>
              </a:solidFill>
              <a:effectLst/>
              <a:latin typeface="+mn-lt"/>
              <a:ea typeface="+mn-ea"/>
              <a:cs typeface="+mn-cs"/>
            </a:rPr>
            <a:t>Based on the data from Jan 2021 to May 2023, the following categories show the strongest sensitivity to imported oil price fluctuations:</a:t>
          </a:r>
        </a:p>
        <a:p>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1. Meat and Fish (0.40):</a:t>
          </a:r>
          <a:r>
            <a:rPr lang="en-IN" sz="1100">
              <a:solidFill>
                <a:schemeClr val="dk1"/>
              </a:solidFill>
              <a:effectLst/>
              <a:latin typeface="+mn-lt"/>
              <a:ea typeface="+mn-ea"/>
              <a:cs typeface="+mn-cs"/>
            </a:rPr>
            <a:t> Shows a moderate positive correlation. This is likely due to the high dependency of cold chain logistics and transport costs on fuel prices.</a:t>
          </a:r>
        </a:p>
        <a:p>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2. Oils and Fats (0.38):</a:t>
          </a:r>
          <a:r>
            <a:rPr lang="en-IN" sz="1100">
              <a:solidFill>
                <a:schemeClr val="dk1"/>
              </a:solidFill>
              <a:effectLst/>
              <a:latin typeface="+mn-lt"/>
              <a:ea typeface="+mn-ea"/>
              <a:cs typeface="+mn-cs"/>
            </a:rPr>
            <a:t> This category includes edible oils (like palm and soybean oil), which are major imports for India. Global commodity prices for edible oils often move in tandem with energy prices.</a:t>
          </a:r>
        </a:p>
        <a:p>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3. Transport and Communication / Fuel and Light:</a:t>
          </a:r>
          <a:r>
            <a:rPr lang="en-IN" sz="1100">
              <a:solidFill>
                <a:schemeClr val="dk1"/>
              </a:solidFill>
              <a:effectLst/>
              <a:latin typeface="+mn-lt"/>
              <a:ea typeface="+mn-ea"/>
              <a:cs typeface="+mn-cs"/>
            </a:rPr>
            <a:t> Surprisingly, these show lower direct correlations (0.11</a:t>
          </a:r>
          <a:r>
            <a:rPr lang="en-IN" sz="1100" baseline="0">
              <a:solidFill>
                <a:schemeClr val="dk1"/>
              </a:solidFill>
              <a:effectLst/>
              <a:latin typeface="+mn-lt"/>
              <a:ea typeface="+mn-ea"/>
              <a:cs typeface="+mn-cs"/>
            </a:rPr>
            <a:t> &amp; 0.13</a:t>
          </a:r>
          <a:r>
            <a:rPr lang="en-IN" sz="1100">
              <a:solidFill>
                <a:schemeClr val="dk1"/>
              </a:solidFill>
              <a:effectLst/>
              <a:latin typeface="+mn-lt"/>
              <a:ea typeface="+mn-ea"/>
              <a:cs typeface="+mn-cs"/>
            </a:rPr>
            <a:t>) in the short term. This is primarily because domestic retail prices of petrol, diesel, and LPG in India are often managed through government interventions and tax adjustments, which "buffers" the immediate impact of global crude price spikes on the consumer index.</a:t>
          </a:r>
        </a:p>
        <a:p>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38100</xdr:colOff>
      <xdr:row>26</xdr:row>
      <xdr:rowOff>142876</xdr:rowOff>
    </xdr:from>
    <xdr:to>
      <xdr:col>26</xdr:col>
      <xdr:colOff>28576</xdr:colOff>
      <xdr:row>47</xdr:row>
      <xdr:rowOff>9526</xdr:rowOff>
    </xdr:to>
    <xdr:graphicFrame macro="">
      <xdr:nvGraphicFramePr>
        <xdr:cNvPr id="2" name="Chart 1">
          <a:extLst>
            <a:ext uri="{FF2B5EF4-FFF2-40B4-BE49-F238E27FC236}">
              <a16:creationId xmlns:a16="http://schemas.microsoft.com/office/drawing/2014/main" id="{70C203BB-BBAC-4CD0-BAE9-FB3E9F922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421004</xdr:colOff>
      <xdr:row>4</xdr:row>
      <xdr:rowOff>5714</xdr:rowOff>
    </xdr:from>
    <xdr:to>
      <xdr:col>28</xdr:col>
      <xdr:colOff>228599</xdr:colOff>
      <xdr:row>23</xdr:row>
      <xdr:rowOff>19049</xdr:rowOff>
    </xdr:to>
    <xdr:graphicFrame macro="">
      <xdr:nvGraphicFramePr>
        <xdr:cNvPr id="3" name="Chart 2">
          <a:extLst>
            <a:ext uri="{FF2B5EF4-FFF2-40B4-BE49-F238E27FC236}">
              <a16:creationId xmlns:a16="http://schemas.microsoft.com/office/drawing/2014/main" id="{14813588-0BC3-4EB3-BCB3-5B0DB8355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95250</xdr:colOff>
      <xdr:row>25</xdr:row>
      <xdr:rowOff>142875</xdr:rowOff>
    </xdr:from>
    <xdr:to>
      <xdr:col>14</xdr:col>
      <xdr:colOff>9525</xdr:colOff>
      <xdr:row>46</xdr:row>
      <xdr:rowOff>165735</xdr:rowOff>
    </xdr:to>
    <xdr:graphicFrame macro="">
      <xdr:nvGraphicFramePr>
        <xdr:cNvPr id="4" name="Chart 3">
          <a:extLst>
            <a:ext uri="{FF2B5EF4-FFF2-40B4-BE49-F238E27FC236}">
              <a16:creationId xmlns:a16="http://schemas.microsoft.com/office/drawing/2014/main" id="{AF4D2B91-A2A7-42E7-94D4-C88A9F1DF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152400</xdr:colOff>
      <xdr:row>4</xdr:row>
      <xdr:rowOff>95250</xdr:rowOff>
    </xdr:from>
    <xdr:to>
      <xdr:col>14</xdr:col>
      <xdr:colOff>19050</xdr:colOff>
      <xdr:row>23</xdr:row>
      <xdr:rowOff>104775</xdr:rowOff>
    </xdr:to>
    <xdr:graphicFrame macro="">
      <xdr:nvGraphicFramePr>
        <xdr:cNvPr id="6" name="Chart 5">
          <a:extLst>
            <a:ext uri="{FF2B5EF4-FFF2-40B4-BE49-F238E27FC236}">
              <a16:creationId xmlns:a16="http://schemas.microsoft.com/office/drawing/2014/main" id="{9DD39841-9D77-41B2-A6A6-06E57EBFE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390525</xdr:colOff>
      <xdr:row>23</xdr:row>
      <xdr:rowOff>85725</xdr:rowOff>
    </xdr:from>
    <xdr:to>
      <xdr:col>25</xdr:col>
      <xdr:colOff>165735</xdr:colOff>
      <xdr:row>26</xdr:row>
      <xdr:rowOff>7620</xdr:rowOff>
    </xdr:to>
    <xdr:sp macro="" textlink="">
      <xdr:nvSpPr>
        <xdr:cNvPr id="7" name="TextBox 6">
          <a:extLst>
            <a:ext uri="{FF2B5EF4-FFF2-40B4-BE49-F238E27FC236}">
              <a16:creationId xmlns:a16="http://schemas.microsoft.com/office/drawing/2014/main" id="{BC431C15-C3DA-4F53-9587-0708C903B7AE}"/>
            </a:ext>
          </a:extLst>
        </xdr:cNvPr>
        <xdr:cNvSpPr txBox="1"/>
      </xdr:nvSpPr>
      <xdr:spPr>
        <a:xfrm>
          <a:off x="14411325" y="4029075"/>
          <a:ext cx="994410" cy="43624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100"/>
            <a:t>Mar-2020</a:t>
          </a:r>
        </a:p>
        <a:p>
          <a:pPr algn="ctr"/>
          <a:r>
            <a:rPr lang="en-IN" sz="1100"/>
            <a:t>"Covid - 19"</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0.70602</cdr:x>
      <cdr:y>0.07474</cdr:y>
    </cdr:from>
    <cdr:to>
      <cdr:x>0.70884</cdr:x>
      <cdr:y>1</cdr:y>
    </cdr:to>
    <cdr:cxnSp macro="">
      <cdr:nvCxnSpPr>
        <cdr:cNvPr id="2" name="Straight Arrow Connector 1">
          <a:extLst xmlns:a="http://schemas.openxmlformats.org/drawingml/2006/main">
            <a:ext uri="{FF2B5EF4-FFF2-40B4-BE49-F238E27FC236}">
              <a16:creationId xmlns:a16="http://schemas.microsoft.com/office/drawing/2014/main" id="{CAD97E72-1A35-DAF0-3A8F-0ECB8A534191}"/>
            </a:ext>
          </a:extLst>
        </cdr:cNvPr>
        <cdr:cNvCxnSpPr/>
      </cdr:nvCxnSpPr>
      <cdr:spPr>
        <a:xfrm xmlns:a="http://schemas.openxmlformats.org/drawingml/2006/main" flipH="1">
          <a:off x="5889625" y="244477"/>
          <a:ext cx="23496" cy="3026408"/>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B7F1-517A-4C68-9B06-1AC6F9EE07DF}">
  <dimension ref="A1:AD373"/>
  <sheetViews>
    <sheetView zoomScale="105" zoomScaleNormal="80" workbookViewId="0">
      <selection activeCell="B19" sqref="A1:AD373"/>
    </sheetView>
  </sheetViews>
  <sheetFormatPr defaultRowHeight="13.8" x14ac:dyDescent="0.25"/>
  <cols>
    <col min="1" max="1" width="10.6640625" bestFit="1" customWidth="1"/>
    <col min="2" max="2" width="5" bestFit="1" customWidth="1"/>
    <col min="3" max="3" width="9.44140625" bestFit="1" customWidth="1"/>
    <col min="4" max="4" width="17.44140625" bestFit="1" customWidth="1"/>
    <col min="5" max="5" width="11.6640625" bestFit="1" customWidth="1"/>
    <col min="6" max="6" width="6" bestFit="1" customWidth="1"/>
    <col min="7" max="7" width="15.21875" bestFit="1" customWidth="1"/>
    <col min="8" max="8" width="10.5546875" bestFit="1" customWidth="1"/>
    <col min="9" max="9" width="6" bestFit="1" customWidth="1"/>
    <col min="10" max="10" width="9.44140625" bestFit="1" customWidth="1"/>
    <col min="11" max="11" width="16.6640625" bestFit="1" customWidth="1"/>
    <col min="12" max="12" width="20.109375" bestFit="1" customWidth="1"/>
    <col min="13" max="13" width="6" bestFit="1" customWidth="1"/>
    <col min="14" max="14" width="20" bestFit="1" customWidth="1"/>
    <col min="15" max="15" width="28.88671875" bestFit="1" customWidth="1"/>
    <col min="16" max="16" width="16.5546875" bestFit="1" customWidth="1"/>
    <col min="17" max="17" width="23.44140625" bestFit="1" customWidth="1"/>
    <col min="18" max="18" width="7.44140625" bestFit="1" customWidth="1"/>
    <col min="19" max="19" width="8.33203125" bestFit="1" customWidth="1"/>
    <col min="20" max="20" width="18.44140625" bestFit="1" customWidth="1"/>
    <col min="21" max="21" width="7.33203125" bestFit="1" customWidth="1"/>
    <col min="22" max="22" width="11.44140625" bestFit="1" customWidth="1"/>
    <col min="23" max="23" width="24.6640625" bestFit="1" customWidth="1"/>
    <col min="24" max="24" width="6.109375" bestFit="1" customWidth="1"/>
    <col min="25" max="25" width="24.77734375" bestFit="1" customWidth="1"/>
    <col min="26" max="26" width="22.5546875" bestFit="1" customWidth="1"/>
    <col min="27" max="27" width="8.6640625" bestFit="1" customWidth="1"/>
    <col min="28" max="28" width="20.44140625" bestFit="1" customWidth="1"/>
    <col min="29" max="29" width="12" bestFit="1" customWidth="1"/>
    <col min="30" max="30" width="11.5546875" bestFit="1" customWidth="1"/>
  </cols>
  <sheetData>
    <row r="1" spans="1:30"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4.4" x14ac:dyDescent="0.3">
      <c r="A2" s="2" t="s">
        <v>30</v>
      </c>
      <c r="B2" s="2">
        <v>2013</v>
      </c>
      <c r="C2" s="2" t="s">
        <v>31</v>
      </c>
      <c r="D2" s="2">
        <v>107.5</v>
      </c>
      <c r="E2" s="2">
        <v>106.3</v>
      </c>
      <c r="F2" s="2">
        <v>108.1</v>
      </c>
      <c r="G2" s="2">
        <v>104.9</v>
      </c>
      <c r="H2" s="2">
        <v>106.1</v>
      </c>
      <c r="I2" s="2">
        <v>103.9</v>
      </c>
      <c r="J2" s="2">
        <v>101.9</v>
      </c>
      <c r="K2" s="2">
        <v>106.1</v>
      </c>
      <c r="L2" s="2">
        <v>106.8</v>
      </c>
      <c r="M2" s="2">
        <v>103.1</v>
      </c>
      <c r="N2" s="2">
        <v>104.8</v>
      </c>
      <c r="O2" s="2">
        <v>106.7</v>
      </c>
      <c r="P2" s="2">
        <v>105.5</v>
      </c>
      <c r="Q2" s="2">
        <v>105.1</v>
      </c>
      <c r="R2" s="2">
        <v>106.5</v>
      </c>
      <c r="S2" s="2">
        <v>105.8</v>
      </c>
      <c r="T2" s="2">
        <v>106.4</v>
      </c>
      <c r="U2" s="2" t="s">
        <v>32</v>
      </c>
      <c r="V2" s="2">
        <v>105.5</v>
      </c>
      <c r="W2" s="2">
        <v>104.8</v>
      </c>
      <c r="X2" s="2">
        <v>104</v>
      </c>
      <c r="Y2" s="2">
        <v>103.3</v>
      </c>
      <c r="Z2" s="2">
        <v>103.4</v>
      </c>
      <c r="AA2" s="2">
        <v>103.8</v>
      </c>
      <c r="AB2" s="2">
        <v>104.7</v>
      </c>
      <c r="AC2" s="2">
        <v>104</v>
      </c>
      <c r="AD2" s="2">
        <v>105.1</v>
      </c>
    </row>
    <row r="3" spans="1:30" ht="14.4" x14ac:dyDescent="0.3">
      <c r="A3" s="2" t="s">
        <v>33</v>
      </c>
      <c r="B3" s="2">
        <v>2013</v>
      </c>
      <c r="C3" s="2" t="s">
        <v>31</v>
      </c>
      <c r="D3" s="2">
        <v>110.5</v>
      </c>
      <c r="E3" s="2">
        <v>109.1</v>
      </c>
      <c r="F3" s="2">
        <v>113</v>
      </c>
      <c r="G3" s="2">
        <v>103.6</v>
      </c>
      <c r="H3" s="2">
        <v>103.4</v>
      </c>
      <c r="I3" s="2">
        <v>102.3</v>
      </c>
      <c r="J3" s="2">
        <v>102.9</v>
      </c>
      <c r="K3" s="2">
        <v>105.8</v>
      </c>
      <c r="L3" s="2">
        <v>105.1</v>
      </c>
      <c r="M3" s="2">
        <v>101.8</v>
      </c>
      <c r="N3" s="2">
        <v>105.1</v>
      </c>
      <c r="O3" s="2">
        <v>107.9</v>
      </c>
      <c r="P3" s="2">
        <v>105.9</v>
      </c>
      <c r="Q3" s="2">
        <v>105.2</v>
      </c>
      <c r="R3" s="2">
        <v>105.9</v>
      </c>
      <c r="S3" s="2">
        <v>105</v>
      </c>
      <c r="T3" s="2">
        <v>105.8</v>
      </c>
      <c r="U3" s="2">
        <v>100.3</v>
      </c>
      <c r="V3" s="2">
        <v>105.4</v>
      </c>
      <c r="W3" s="2">
        <v>104.8</v>
      </c>
      <c r="X3" s="2">
        <v>104.1</v>
      </c>
      <c r="Y3" s="2">
        <v>103.2</v>
      </c>
      <c r="Z3" s="2">
        <v>102.9</v>
      </c>
      <c r="AA3" s="2">
        <v>103.5</v>
      </c>
      <c r="AB3" s="2">
        <v>104.3</v>
      </c>
      <c r="AC3" s="2">
        <v>103.7</v>
      </c>
      <c r="AD3" s="2">
        <v>104</v>
      </c>
    </row>
    <row r="4" spans="1:30" ht="14.4" x14ac:dyDescent="0.3">
      <c r="A4" s="2" t="s">
        <v>34</v>
      </c>
      <c r="B4" s="2">
        <v>2013</v>
      </c>
      <c r="C4" s="2" t="s">
        <v>31</v>
      </c>
      <c r="D4" s="2">
        <v>108.4</v>
      </c>
      <c r="E4" s="2">
        <v>107.3</v>
      </c>
      <c r="F4" s="2">
        <v>110</v>
      </c>
      <c r="G4" s="2">
        <v>104.4</v>
      </c>
      <c r="H4" s="2">
        <v>105.1</v>
      </c>
      <c r="I4" s="2">
        <v>103.2</v>
      </c>
      <c r="J4" s="2">
        <v>102.2</v>
      </c>
      <c r="K4" s="2">
        <v>106</v>
      </c>
      <c r="L4" s="2">
        <v>106.2</v>
      </c>
      <c r="M4" s="2">
        <v>102.7</v>
      </c>
      <c r="N4" s="2">
        <v>104.9</v>
      </c>
      <c r="O4" s="2">
        <v>107.3</v>
      </c>
      <c r="P4" s="2">
        <v>105.6</v>
      </c>
      <c r="Q4" s="2">
        <v>105.1</v>
      </c>
      <c r="R4" s="2">
        <v>106.3</v>
      </c>
      <c r="S4" s="2">
        <v>105.5</v>
      </c>
      <c r="T4" s="2">
        <v>106.2</v>
      </c>
      <c r="U4" s="2">
        <v>100.3</v>
      </c>
      <c r="V4" s="2">
        <v>105.5</v>
      </c>
      <c r="W4" s="2">
        <v>104.8</v>
      </c>
      <c r="X4" s="2">
        <v>104</v>
      </c>
      <c r="Y4" s="2">
        <v>103.2</v>
      </c>
      <c r="Z4" s="2">
        <v>103.1</v>
      </c>
      <c r="AA4" s="2">
        <v>103.6</v>
      </c>
      <c r="AB4" s="2">
        <v>104.5</v>
      </c>
      <c r="AC4" s="2">
        <v>103.9</v>
      </c>
      <c r="AD4" s="2">
        <v>104.6</v>
      </c>
    </row>
    <row r="5" spans="1:30" ht="14.4" x14ac:dyDescent="0.3">
      <c r="A5" s="2" t="s">
        <v>30</v>
      </c>
      <c r="B5" s="2">
        <v>2013</v>
      </c>
      <c r="C5" s="2" t="s">
        <v>35</v>
      </c>
      <c r="D5" s="2">
        <v>109.2</v>
      </c>
      <c r="E5" s="2">
        <v>108.7</v>
      </c>
      <c r="F5" s="2">
        <v>110.2</v>
      </c>
      <c r="G5" s="2">
        <v>105.4</v>
      </c>
      <c r="H5" s="2">
        <v>106.7</v>
      </c>
      <c r="I5" s="2">
        <v>104</v>
      </c>
      <c r="J5" s="2">
        <v>102.4</v>
      </c>
      <c r="K5" s="2">
        <v>105.9</v>
      </c>
      <c r="L5" s="2">
        <v>105.7</v>
      </c>
      <c r="M5" s="2">
        <v>103.1</v>
      </c>
      <c r="N5" s="2">
        <v>105.1</v>
      </c>
      <c r="O5" s="2">
        <v>107.7</v>
      </c>
      <c r="P5" s="2">
        <v>106.3</v>
      </c>
      <c r="Q5" s="2">
        <v>105.6</v>
      </c>
      <c r="R5" s="2">
        <v>107.1</v>
      </c>
      <c r="S5" s="2">
        <v>106.3</v>
      </c>
      <c r="T5" s="2">
        <v>107</v>
      </c>
      <c r="U5" s="2" t="s">
        <v>32</v>
      </c>
      <c r="V5" s="2">
        <v>106.2</v>
      </c>
      <c r="W5" s="2">
        <v>105.2</v>
      </c>
      <c r="X5" s="2">
        <v>104.4</v>
      </c>
      <c r="Y5" s="2">
        <v>103.9</v>
      </c>
      <c r="Z5" s="2">
        <v>104</v>
      </c>
      <c r="AA5" s="2">
        <v>104.1</v>
      </c>
      <c r="AB5" s="2">
        <v>104.6</v>
      </c>
      <c r="AC5" s="2">
        <v>104.4</v>
      </c>
      <c r="AD5" s="2">
        <v>105.8</v>
      </c>
    </row>
    <row r="6" spans="1:30" ht="14.4" x14ac:dyDescent="0.3">
      <c r="A6" s="2" t="s">
        <v>33</v>
      </c>
      <c r="B6" s="2">
        <v>2013</v>
      </c>
      <c r="C6" s="2" t="s">
        <v>35</v>
      </c>
      <c r="D6" s="2">
        <v>112.9</v>
      </c>
      <c r="E6" s="2">
        <v>112.9</v>
      </c>
      <c r="F6" s="2">
        <v>116.9</v>
      </c>
      <c r="G6" s="2">
        <v>104</v>
      </c>
      <c r="H6" s="2">
        <v>103.5</v>
      </c>
      <c r="I6" s="2">
        <v>103.1</v>
      </c>
      <c r="J6" s="2">
        <v>104.9</v>
      </c>
      <c r="K6" s="2">
        <v>104.1</v>
      </c>
      <c r="L6" s="2">
        <v>103.8</v>
      </c>
      <c r="M6" s="2">
        <v>102.3</v>
      </c>
      <c r="N6" s="2">
        <v>106</v>
      </c>
      <c r="O6" s="2">
        <v>109</v>
      </c>
      <c r="P6" s="2">
        <v>107.2</v>
      </c>
      <c r="Q6" s="2">
        <v>106</v>
      </c>
      <c r="R6" s="2">
        <v>106.6</v>
      </c>
      <c r="S6" s="2">
        <v>105.5</v>
      </c>
      <c r="T6" s="2">
        <v>106.4</v>
      </c>
      <c r="U6" s="2">
        <v>100.4</v>
      </c>
      <c r="V6" s="2">
        <v>105.7</v>
      </c>
      <c r="W6" s="2">
        <v>105.2</v>
      </c>
      <c r="X6" s="2">
        <v>104.7</v>
      </c>
      <c r="Y6" s="2">
        <v>104.4</v>
      </c>
      <c r="Z6" s="2">
        <v>103.3</v>
      </c>
      <c r="AA6" s="2">
        <v>103.7</v>
      </c>
      <c r="AB6" s="2">
        <v>104.3</v>
      </c>
      <c r="AC6" s="2">
        <v>104.3</v>
      </c>
      <c r="AD6" s="2">
        <v>104.7</v>
      </c>
    </row>
    <row r="7" spans="1:30" ht="14.4" x14ac:dyDescent="0.3">
      <c r="A7" s="2" t="s">
        <v>34</v>
      </c>
      <c r="B7" s="2">
        <v>2013</v>
      </c>
      <c r="C7" s="2" t="s">
        <v>35</v>
      </c>
      <c r="D7" s="2">
        <v>110.4</v>
      </c>
      <c r="E7" s="2">
        <v>110.2</v>
      </c>
      <c r="F7" s="2">
        <v>112.8</v>
      </c>
      <c r="G7" s="2">
        <v>104.9</v>
      </c>
      <c r="H7" s="2">
        <v>105.5</v>
      </c>
      <c r="I7" s="2">
        <v>103.6</v>
      </c>
      <c r="J7" s="2">
        <v>103.2</v>
      </c>
      <c r="K7" s="2">
        <v>105.3</v>
      </c>
      <c r="L7" s="2">
        <v>105.1</v>
      </c>
      <c r="M7" s="2">
        <v>102.8</v>
      </c>
      <c r="N7" s="2">
        <v>105.5</v>
      </c>
      <c r="O7" s="2">
        <v>108.3</v>
      </c>
      <c r="P7" s="2">
        <v>106.6</v>
      </c>
      <c r="Q7" s="2">
        <v>105.7</v>
      </c>
      <c r="R7" s="2">
        <v>106.9</v>
      </c>
      <c r="S7" s="2">
        <v>106</v>
      </c>
      <c r="T7" s="2">
        <v>106.8</v>
      </c>
      <c r="U7" s="2">
        <v>100.4</v>
      </c>
      <c r="V7" s="2">
        <v>106</v>
      </c>
      <c r="W7" s="2">
        <v>105.2</v>
      </c>
      <c r="X7" s="2">
        <v>104.5</v>
      </c>
      <c r="Y7" s="2">
        <v>104.2</v>
      </c>
      <c r="Z7" s="2">
        <v>103.6</v>
      </c>
      <c r="AA7" s="2">
        <v>103.9</v>
      </c>
      <c r="AB7" s="2">
        <v>104.5</v>
      </c>
      <c r="AC7" s="2">
        <v>104.4</v>
      </c>
      <c r="AD7" s="2">
        <v>105.3</v>
      </c>
    </row>
    <row r="8" spans="1:30" ht="14.4" x14ac:dyDescent="0.3">
      <c r="A8" s="2" t="s">
        <v>30</v>
      </c>
      <c r="B8" s="2">
        <v>2013</v>
      </c>
      <c r="C8" s="2" t="s">
        <v>36</v>
      </c>
      <c r="D8" s="2">
        <v>110.2</v>
      </c>
      <c r="E8" s="2">
        <v>108.8</v>
      </c>
      <c r="F8" s="2">
        <v>109.9</v>
      </c>
      <c r="G8" s="2">
        <v>105.6</v>
      </c>
      <c r="H8" s="2">
        <v>106.2</v>
      </c>
      <c r="I8" s="2">
        <v>105.7</v>
      </c>
      <c r="J8" s="2">
        <v>101.4</v>
      </c>
      <c r="K8" s="2">
        <v>105.7</v>
      </c>
      <c r="L8" s="2">
        <v>105</v>
      </c>
      <c r="M8" s="2">
        <v>103.3</v>
      </c>
      <c r="N8" s="2">
        <v>105.6</v>
      </c>
      <c r="O8" s="2">
        <v>108.2</v>
      </c>
      <c r="P8" s="2">
        <v>106.6</v>
      </c>
      <c r="Q8" s="2">
        <v>106.5</v>
      </c>
      <c r="R8" s="2">
        <v>107.6</v>
      </c>
      <c r="S8" s="2">
        <v>106.8</v>
      </c>
      <c r="T8" s="2">
        <v>107.5</v>
      </c>
      <c r="U8" s="2" t="s">
        <v>32</v>
      </c>
      <c r="V8" s="2">
        <v>106.1</v>
      </c>
      <c r="W8" s="2">
        <v>105.6</v>
      </c>
      <c r="X8" s="2">
        <v>104.7</v>
      </c>
      <c r="Y8" s="2">
        <v>104.6</v>
      </c>
      <c r="Z8" s="2">
        <v>104</v>
      </c>
      <c r="AA8" s="2">
        <v>104.3</v>
      </c>
      <c r="AB8" s="2">
        <v>104.3</v>
      </c>
      <c r="AC8" s="2">
        <v>104.6</v>
      </c>
      <c r="AD8" s="2">
        <v>106</v>
      </c>
    </row>
    <row r="9" spans="1:30" ht="14.4" x14ac:dyDescent="0.3">
      <c r="A9" s="2" t="s">
        <v>33</v>
      </c>
      <c r="B9" s="2">
        <v>2013</v>
      </c>
      <c r="C9" s="2" t="s">
        <v>36</v>
      </c>
      <c r="D9" s="2">
        <v>113.9</v>
      </c>
      <c r="E9" s="2">
        <v>111.4</v>
      </c>
      <c r="F9" s="2">
        <v>113.2</v>
      </c>
      <c r="G9" s="2">
        <v>104.3</v>
      </c>
      <c r="H9" s="2">
        <v>102.7</v>
      </c>
      <c r="I9" s="2">
        <v>104.9</v>
      </c>
      <c r="J9" s="2">
        <v>103.8</v>
      </c>
      <c r="K9" s="2">
        <v>103.5</v>
      </c>
      <c r="L9" s="2">
        <v>102.6</v>
      </c>
      <c r="M9" s="2">
        <v>102.4</v>
      </c>
      <c r="N9" s="2">
        <v>107</v>
      </c>
      <c r="O9" s="2">
        <v>109.8</v>
      </c>
      <c r="P9" s="2">
        <v>107.3</v>
      </c>
      <c r="Q9" s="2">
        <v>106.8</v>
      </c>
      <c r="R9" s="2">
        <v>107.2</v>
      </c>
      <c r="S9" s="2">
        <v>106</v>
      </c>
      <c r="T9" s="2">
        <v>107</v>
      </c>
      <c r="U9" s="2">
        <v>100.4</v>
      </c>
      <c r="V9" s="2">
        <v>106</v>
      </c>
      <c r="W9" s="2">
        <v>105.7</v>
      </c>
      <c r="X9" s="2">
        <v>105.2</v>
      </c>
      <c r="Y9" s="2">
        <v>105.5</v>
      </c>
      <c r="Z9" s="2">
        <v>103.5</v>
      </c>
      <c r="AA9" s="2">
        <v>103.8</v>
      </c>
      <c r="AB9" s="2">
        <v>104.2</v>
      </c>
      <c r="AC9" s="2">
        <v>104.9</v>
      </c>
      <c r="AD9" s="2">
        <v>105</v>
      </c>
    </row>
    <row r="10" spans="1:30" ht="14.4" x14ac:dyDescent="0.3">
      <c r="A10" s="2" t="s">
        <v>34</v>
      </c>
      <c r="B10" s="2">
        <v>2013</v>
      </c>
      <c r="C10" s="2" t="s">
        <v>36</v>
      </c>
      <c r="D10" s="2">
        <v>111.4</v>
      </c>
      <c r="E10" s="2">
        <v>109.7</v>
      </c>
      <c r="F10" s="2">
        <v>111.2</v>
      </c>
      <c r="G10" s="2">
        <v>105.1</v>
      </c>
      <c r="H10" s="2">
        <v>104.9</v>
      </c>
      <c r="I10" s="2">
        <v>105.3</v>
      </c>
      <c r="J10" s="2">
        <v>102.2</v>
      </c>
      <c r="K10" s="2">
        <v>105</v>
      </c>
      <c r="L10" s="2">
        <v>104.2</v>
      </c>
      <c r="M10" s="2">
        <v>103</v>
      </c>
      <c r="N10" s="2">
        <v>106.2</v>
      </c>
      <c r="O10" s="2">
        <v>108.9</v>
      </c>
      <c r="P10" s="2">
        <v>106.9</v>
      </c>
      <c r="Q10" s="2">
        <v>106.6</v>
      </c>
      <c r="R10" s="2">
        <v>107.4</v>
      </c>
      <c r="S10" s="2">
        <v>106.5</v>
      </c>
      <c r="T10" s="2">
        <v>107.3</v>
      </c>
      <c r="U10" s="2">
        <v>100.4</v>
      </c>
      <c r="V10" s="2">
        <v>106.1</v>
      </c>
      <c r="W10" s="2">
        <v>105.6</v>
      </c>
      <c r="X10" s="2">
        <v>104.9</v>
      </c>
      <c r="Y10" s="2">
        <v>105.1</v>
      </c>
      <c r="Z10" s="2">
        <v>103.7</v>
      </c>
      <c r="AA10" s="2">
        <v>104</v>
      </c>
      <c r="AB10" s="2">
        <v>104.3</v>
      </c>
      <c r="AC10" s="2">
        <v>104.7</v>
      </c>
      <c r="AD10" s="2">
        <v>105.5</v>
      </c>
    </row>
    <row r="11" spans="1:30" ht="14.4" x14ac:dyDescent="0.3">
      <c r="A11" s="2" t="s">
        <v>30</v>
      </c>
      <c r="B11" s="2">
        <v>2013</v>
      </c>
      <c r="C11" s="2" t="s">
        <v>37</v>
      </c>
      <c r="D11" s="2">
        <v>110.2</v>
      </c>
      <c r="E11" s="2">
        <v>109.5</v>
      </c>
      <c r="F11" s="2">
        <v>106.9</v>
      </c>
      <c r="G11" s="2">
        <v>106.3</v>
      </c>
      <c r="H11" s="2">
        <v>105.7</v>
      </c>
      <c r="I11" s="2">
        <v>108.3</v>
      </c>
      <c r="J11" s="2">
        <v>103.4</v>
      </c>
      <c r="K11" s="2">
        <v>105.7</v>
      </c>
      <c r="L11" s="2">
        <v>104.2</v>
      </c>
      <c r="M11" s="2">
        <v>103.2</v>
      </c>
      <c r="N11" s="2">
        <v>106.5</v>
      </c>
      <c r="O11" s="2">
        <v>108.8</v>
      </c>
      <c r="P11" s="2">
        <v>107.1</v>
      </c>
      <c r="Q11" s="2">
        <v>107.1</v>
      </c>
      <c r="R11" s="2">
        <v>108.1</v>
      </c>
      <c r="S11" s="2">
        <v>107.4</v>
      </c>
      <c r="T11" s="2">
        <v>108</v>
      </c>
      <c r="U11" s="2" t="s">
        <v>32</v>
      </c>
      <c r="V11" s="2">
        <v>106.5</v>
      </c>
      <c r="W11" s="2">
        <v>106.1</v>
      </c>
      <c r="X11" s="2">
        <v>105.1</v>
      </c>
      <c r="Y11" s="2">
        <v>104.4</v>
      </c>
      <c r="Z11" s="2">
        <v>104.5</v>
      </c>
      <c r="AA11" s="2">
        <v>104.8</v>
      </c>
      <c r="AB11" s="2">
        <v>102.7</v>
      </c>
      <c r="AC11" s="2">
        <v>104.6</v>
      </c>
      <c r="AD11" s="2">
        <v>106.4</v>
      </c>
    </row>
    <row r="12" spans="1:30" ht="14.4" x14ac:dyDescent="0.3">
      <c r="A12" s="2" t="s">
        <v>33</v>
      </c>
      <c r="B12" s="2">
        <v>2013</v>
      </c>
      <c r="C12" s="2" t="s">
        <v>37</v>
      </c>
      <c r="D12" s="2">
        <v>114.6</v>
      </c>
      <c r="E12" s="2">
        <v>113.4</v>
      </c>
      <c r="F12" s="2">
        <v>106</v>
      </c>
      <c r="G12" s="2">
        <v>104.7</v>
      </c>
      <c r="H12" s="2">
        <v>102.1</v>
      </c>
      <c r="I12" s="2">
        <v>109.5</v>
      </c>
      <c r="J12" s="2">
        <v>109.7</v>
      </c>
      <c r="K12" s="2">
        <v>104.6</v>
      </c>
      <c r="L12" s="2">
        <v>102</v>
      </c>
      <c r="M12" s="2">
        <v>103.5</v>
      </c>
      <c r="N12" s="2">
        <v>108.2</v>
      </c>
      <c r="O12" s="2">
        <v>110.6</v>
      </c>
      <c r="P12" s="2">
        <v>108.8</v>
      </c>
      <c r="Q12" s="2">
        <v>108.5</v>
      </c>
      <c r="R12" s="2">
        <v>107.9</v>
      </c>
      <c r="S12" s="2">
        <v>106.4</v>
      </c>
      <c r="T12" s="2">
        <v>107.7</v>
      </c>
      <c r="U12" s="2">
        <v>100.5</v>
      </c>
      <c r="V12" s="2">
        <v>106.4</v>
      </c>
      <c r="W12" s="2">
        <v>106.5</v>
      </c>
      <c r="X12" s="2">
        <v>105.7</v>
      </c>
      <c r="Y12" s="2">
        <v>105</v>
      </c>
      <c r="Z12" s="2">
        <v>104</v>
      </c>
      <c r="AA12" s="2">
        <v>105.2</v>
      </c>
      <c r="AB12" s="2">
        <v>103.2</v>
      </c>
      <c r="AC12" s="2">
        <v>105.1</v>
      </c>
      <c r="AD12" s="2">
        <v>105.7</v>
      </c>
    </row>
    <row r="13" spans="1:30" ht="14.4" x14ac:dyDescent="0.3">
      <c r="A13" s="2" t="s">
        <v>34</v>
      </c>
      <c r="B13" s="2">
        <v>2013</v>
      </c>
      <c r="C13" s="2" t="s">
        <v>37</v>
      </c>
      <c r="D13" s="2">
        <v>111.6</v>
      </c>
      <c r="E13" s="2">
        <v>110.9</v>
      </c>
      <c r="F13" s="2">
        <v>106.6</v>
      </c>
      <c r="G13" s="2">
        <v>105.7</v>
      </c>
      <c r="H13" s="2">
        <v>104.4</v>
      </c>
      <c r="I13" s="2">
        <v>108.9</v>
      </c>
      <c r="J13" s="2">
        <v>105.5</v>
      </c>
      <c r="K13" s="2">
        <v>105.3</v>
      </c>
      <c r="L13" s="2">
        <v>103.5</v>
      </c>
      <c r="M13" s="2">
        <v>103.3</v>
      </c>
      <c r="N13" s="2">
        <v>107.2</v>
      </c>
      <c r="O13" s="2">
        <v>109.6</v>
      </c>
      <c r="P13" s="2">
        <v>107.7</v>
      </c>
      <c r="Q13" s="2">
        <v>107.5</v>
      </c>
      <c r="R13" s="2">
        <v>108</v>
      </c>
      <c r="S13" s="2">
        <v>107</v>
      </c>
      <c r="T13" s="2">
        <v>107.9</v>
      </c>
      <c r="U13" s="2">
        <v>100.5</v>
      </c>
      <c r="V13" s="2">
        <v>106.5</v>
      </c>
      <c r="W13" s="2">
        <v>106.3</v>
      </c>
      <c r="X13" s="2">
        <v>105.3</v>
      </c>
      <c r="Y13" s="2">
        <v>104.7</v>
      </c>
      <c r="Z13" s="2">
        <v>104.2</v>
      </c>
      <c r="AA13" s="2">
        <v>105</v>
      </c>
      <c r="AB13" s="2">
        <v>102.9</v>
      </c>
      <c r="AC13" s="2">
        <v>104.8</v>
      </c>
      <c r="AD13" s="2">
        <v>106.1</v>
      </c>
    </row>
    <row r="14" spans="1:30" ht="14.4" x14ac:dyDescent="0.3">
      <c r="A14" s="2" t="s">
        <v>30</v>
      </c>
      <c r="B14" s="2">
        <v>2013</v>
      </c>
      <c r="C14" s="2" t="s">
        <v>38</v>
      </c>
      <c r="D14" s="2">
        <v>110.9</v>
      </c>
      <c r="E14" s="2">
        <v>109.8</v>
      </c>
      <c r="F14" s="2">
        <v>105.9</v>
      </c>
      <c r="G14" s="2">
        <v>107.5</v>
      </c>
      <c r="H14" s="2">
        <v>105.3</v>
      </c>
      <c r="I14" s="2">
        <v>108.1</v>
      </c>
      <c r="J14" s="2">
        <v>107.3</v>
      </c>
      <c r="K14" s="2">
        <v>106.1</v>
      </c>
      <c r="L14" s="2">
        <v>103.7</v>
      </c>
      <c r="M14" s="2">
        <v>104</v>
      </c>
      <c r="N14" s="2">
        <v>107.4</v>
      </c>
      <c r="O14" s="2">
        <v>109.9</v>
      </c>
      <c r="P14" s="2">
        <v>108.1</v>
      </c>
      <c r="Q14" s="2">
        <v>108.1</v>
      </c>
      <c r="R14" s="2">
        <v>108.8</v>
      </c>
      <c r="S14" s="2">
        <v>107.9</v>
      </c>
      <c r="T14" s="2">
        <v>108.6</v>
      </c>
      <c r="U14" s="2" t="s">
        <v>32</v>
      </c>
      <c r="V14" s="2">
        <v>107.5</v>
      </c>
      <c r="W14" s="2">
        <v>106.8</v>
      </c>
      <c r="X14" s="2">
        <v>105.7</v>
      </c>
      <c r="Y14" s="2">
        <v>104.1</v>
      </c>
      <c r="Z14" s="2">
        <v>105</v>
      </c>
      <c r="AA14" s="2">
        <v>105.5</v>
      </c>
      <c r="AB14" s="2">
        <v>102.1</v>
      </c>
      <c r="AC14" s="2">
        <v>104.8</v>
      </c>
      <c r="AD14" s="2">
        <v>107.2</v>
      </c>
    </row>
    <row r="15" spans="1:30" ht="14.4" x14ac:dyDescent="0.3">
      <c r="A15" s="2" t="s">
        <v>33</v>
      </c>
      <c r="B15" s="2">
        <v>2013</v>
      </c>
      <c r="C15" s="2" t="s">
        <v>38</v>
      </c>
      <c r="D15" s="2">
        <v>115.4</v>
      </c>
      <c r="E15" s="2">
        <v>114.2</v>
      </c>
      <c r="F15" s="2">
        <v>102.7</v>
      </c>
      <c r="G15" s="2">
        <v>105.5</v>
      </c>
      <c r="H15" s="2">
        <v>101.5</v>
      </c>
      <c r="I15" s="2">
        <v>110.6</v>
      </c>
      <c r="J15" s="2">
        <v>123.7</v>
      </c>
      <c r="K15" s="2">
        <v>105.2</v>
      </c>
      <c r="L15" s="2">
        <v>101.9</v>
      </c>
      <c r="M15" s="2">
        <v>105</v>
      </c>
      <c r="N15" s="2">
        <v>109.1</v>
      </c>
      <c r="O15" s="2">
        <v>111.3</v>
      </c>
      <c r="P15" s="2">
        <v>111.1</v>
      </c>
      <c r="Q15" s="2">
        <v>109.8</v>
      </c>
      <c r="R15" s="2">
        <v>108.5</v>
      </c>
      <c r="S15" s="2">
        <v>106.7</v>
      </c>
      <c r="T15" s="2">
        <v>108.3</v>
      </c>
      <c r="U15" s="2">
        <v>100.5</v>
      </c>
      <c r="V15" s="2">
        <v>107.2</v>
      </c>
      <c r="W15" s="2">
        <v>107.1</v>
      </c>
      <c r="X15" s="2">
        <v>106.2</v>
      </c>
      <c r="Y15" s="2">
        <v>103.9</v>
      </c>
      <c r="Z15" s="2">
        <v>104.6</v>
      </c>
      <c r="AA15" s="2">
        <v>105.7</v>
      </c>
      <c r="AB15" s="2">
        <v>102.6</v>
      </c>
      <c r="AC15" s="2">
        <v>104.9</v>
      </c>
      <c r="AD15" s="2">
        <v>106.6</v>
      </c>
    </row>
    <row r="16" spans="1:30" ht="14.4" x14ac:dyDescent="0.3">
      <c r="A16" s="2" t="s">
        <v>34</v>
      </c>
      <c r="B16" s="2">
        <v>2013</v>
      </c>
      <c r="C16" s="2" t="s">
        <v>38</v>
      </c>
      <c r="D16" s="2">
        <v>112.3</v>
      </c>
      <c r="E16" s="2">
        <v>111.3</v>
      </c>
      <c r="F16" s="2">
        <v>104.7</v>
      </c>
      <c r="G16" s="2">
        <v>106.8</v>
      </c>
      <c r="H16" s="2">
        <v>103.9</v>
      </c>
      <c r="I16" s="2">
        <v>109.3</v>
      </c>
      <c r="J16" s="2">
        <v>112.9</v>
      </c>
      <c r="K16" s="2">
        <v>105.8</v>
      </c>
      <c r="L16" s="2">
        <v>103.1</v>
      </c>
      <c r="M16" s="2">
        <v>104.3</v>
      </c>
      <c r="N16" s="2">
        <v>108.1</v>
      </c>
      <c r="O16" s="2">
        <v>110.5</v>
      </c>
      <c r="P16" s="2">
        <v>109.2</v>
      </c>
      <c r="Q16" s="2">
        <v>108.6</v>
      </c>
      <c r="R16" s="2">
        <v>108.7</v>
      </c>
      <c r="S16" s="2">
        <v>107.4</v>
      </c>
      <c r="T16" s="2">
        <v>108.5</v>
      </c>
      <c r="U16" s="2">
        <v>100.5</v>
      </c>
      <c r="V16" s="2">
        <v>107.4</v>
      </c>
      <c r="W16" s="2">
        <v>106.9</v>
      </c>
      <c r="X16" s="2">
        <v>105.9</v>
      </c>
      <c r="Y16" s="2">
        <v>104</v>
      </c>
      <c r="Z16" s="2">
        <v>104.8</v>
      </c>
      <c r="AA16" s="2">
        <v>105.6</v>
      </c>
      <c r="AB16" s="2">
        <v>102.3</v>
      </c>
      <c r="AC16" s="2">
        <v>104.8</v>
      </c>
      <c r="AD16" s="2">
        <v>106.9</v>
      </c>
    </row>
    <row r="17" spans="1:30" ht="14.4" x14ac:dyDescent="0.3">
      <c r="A17" s="2" t="s">
        <v>30</v>
      </c>
      <c r="B17" s="2">
        <v>2013</v>
      </c>
      <c r="C17" s="2" t="s">
        <v>39</v>
      </c>
      <c r="D17" s="2">
        <v>112.3</v>
      </c>
      <c r="E17" s="2">
        <v>112.1</v>
      </c>
      <c r="F17" s="2">
        <v>108.1</v>
      </c>
      <c r="G17" s="2">
        <v>108.3</v>
      </c>
      <c r="H17" s="2">
        <v>105.9</v>
      </c>
      <c r="I17" s="2">
        <v>109.2</v>
      </c>
      <c r="J17" s="2">
        <v>118</v>
      </c>
      <c r="K17" s="2">
        <v>106.8</v>
      </c>
      <c r="L17" s="2">
        <v>104.1</v>
      </c>
      <c r="M17" s="2">
        <v>105.4</v>
      </c>
      <c r="N17" s="2">
        <v>108.2</v>
      </c>
      <c r="O17" s="2">
        <v>111</v>
      </c>
      <c r="P17" s="2">
        <v>110.6</v>
      </c>
      <c r="Q17" s="2">
        <v>109</v>
      </c>
      <c r="R17" s="2">
        <v>109.7</v>
      </c>
      <c r="S17" s="2">
        <v>108.8</v>
      </c>
      <c r="T17" s="2">
        <v>109.5</v>
      </c>
      <c r="U17" s="2" t="s">
        <v>32</v>
      </c>
      <c r="V17" s="2">
        <v>108.5</v>
      </c>
      <c r="W17" s="2">
        <v>107.5</v>
      </c>
      <c r="X17" s="2">
        <v>106.3</v>
      </c>
      <c r="Y17" s="2">
        <v>105</v>
      </c>
      <c r="Z17" s="2">
        <v>105.6</v>
      </c>
      <c r="AA17" s="2">
        <v>106.5</v>
      </c>
      <c r="AB17" s="2">
        <v>102.5</v>
      </c>
      <c r="AC17" s="2">
        <v>105.5</v>
      </c>
      <c r="AD17" s="2">
        <v>108.9</v>
      </c>
    </row>
    <row r="18" spans="1:30" ht="14.4" x14ac:dyDescent="0.3">
      <c r="A18" s="2" t="s">
        <v>33</v>
      </c>
      <c r="B18" s="2">
        <v>2013</v>
      </c>
      <c r="C18" s="2" t="s">
        <v>39</v>
      </c>
      <c r="D18" s="2">
        <v>117</v>
      </c>
      <c r="E18" s="2">
        <v>120.1</v>
      </c>
      <c r="F18" s="2">
        <v>112.5</v>
      </c>
      <c r="G18" s="2">
        <v>107.3</v>
      </c>
      <c r="H18" s="2">
        <v>101.3</v>
      </c>
      <c r="I18" s="2">
        <v>112.4</v>
      </c>
      <c r="J18" s="2">
        <v>143.6</v>
      </c>
      <c r="K18" s="2">
        <v>105.4</v>
      </c>
      <c r="L18" s="2">
        <v>101.4</v>
      </c>
      <c r="M18" s="2">
        <v>106.4</v>
      </c>
      <c r="N18" s="2">
        <v>110</v>
      </c>
      <c r="O18" s="2">
        <v>112.2</v>
      </c>
      <c r="P18" s="2">
        <v>115</v>
      </c>
      <c r="Q18" s="2">
        <v>110.9</v>
      </c>
      <c r="R18" s="2">
        <v>109.2</v>
      </c>
      <c r="S18" s="2">
        <v>107.2</v>
      </c>
      <c r="T18" s="2">
        <v>108.9</v>
      </c>
      <c r="U18" s="2">
        <v>106.6</v>
      </c>
      <c r="V18" s="2">
        <v>108</v>
      </c>
      <c r="W18" s="2">
        <v>107.7</v>
      </c>
      <c r="X18" s="2">
        <v>106.5</v>
      </c>
      <c r="Y18" s="2">
        <v>105.2</v>
      </c>
      <c r="Z18" s="2">
        <v>105.2</v>
      </c>
      <c r="AA18" s="2">
        <v>108.1</v>
      </c>
      <c r="AB18" s="2">
        <v>103.3</v>
      </c>
      <c r="AC18" s="2">
        <v>106.1</v>
      </c>
      <c r="AD18" s="2">
        <v>109.7</v>
      </c>
    </row>
    <row r="19" spans="1:30" ht="14.4" x14ac:dyDescent="0.3">
      <c r="A19" s="2" t="s">
        <v>34</v>
      </c>
      <c r="B19" s="2">
        <v>2013</v>
      </c>
      <c r="C19" s="2" t="s">
        <v>39</v>
      </c>
      <c r="D19" s="2">
        <v>113.8</v>
      </c>
      <c r="E19" s="2">
        <v>114.9</v>
      </c>
      <c r="F19" s="2">
        <v>109.8</v>
      </c>
      <c r="G19" s="2">
        <v>107.9</v>
      </c>
      <c r="H19" s="2">
        <v>104.2</v>
      </c>
      <c r="I19" s="2">
        <v>110.7</v>
      </c>
      <c r="J19" s="2">
        <v>126.7</v>
      </c>
      <c r="K19" s="2">
        <v>106.3</v>
      </c>
      <c r="L19" s="2">
        <v>103.2</v>
      </c>
      <c r="M19" s="2">
        <v>105.7</v>
      </c>
      <c r="N19" s="2">
        <v>109</v>
      </c>
      <c r="O19" s="2">
        <v>111.6</v>
      </c>
      <c r="P19" s="2">
        <v>112.2</v>
      </c>
      <c r="Q19" s="2">
        <v>109.5</v>
      </c>
      <c r="R19" s="2">
        <v>109.5</v>
      </c>
      <c r="S19" s="2">
        <v>108.1</v>
      </c>
      <c r="T19" s="2">
        <v>109.3</v>
      </c>
      <c r="U19" s="2">
        <v>106.6</v>
      </c>
      <c r="V19" s="2">
        <v>108.3</v>
      </c>
      <c r="W19" s="2">
        <v>107.6</v>
      </c>
      <c r="X19" s="2">
        <v>106.4</v>
      </c>
      <c r="Y19" s="2">
        <v>105.1</v>
      </c>
      <c r="Z19" s="2">
        <v>105.4</v>
      </c>
      <c r="AA19" s="2">
        <v>107.4</v>
      </c>
      <c r="AB19" s="2">
        <v>102.8</v>
      </c>
      <c r="AC19" s="2">
        <v>105.8</v>
      </c>
      <c r="AD19" s="2">
        <v>109.3</v>
      </c>
    </row>
    <row r="20" spans="1:30" ht="14.4" x14ac:dyDescent="0.3">
      <c r="A20" s="2" t="s">
        <v>30</v>
      </c>
      <c r="B20" s="2">
        <v>2013</v>
      </c>
      <c r="C20" s="2" t="s">
        <v>40</v>
      </c>
      <c r="D20" s="2">
        <v>113.4</v>
      </c>
      <c r="E20" s="2">
        <v>114.9</v>
      </c>
      <c r="F20" s="2">
        <v>110.5</v>
      </c>
      <c r="G20" s="2">
        <v>109.3</v>
      </c>
      <c r="H20" s="2">
        <v>106.2</v>
      </c>
      <c r="I20" s="2">
        <v>110.3</v>
      </c>
      <c r="J20" s="2">
        <v>129.19999999999999</v>
      </c>
      <c r="K20" s="2">
        <v>107.1</v>
      </c>
      <c r="L20" s="2">
        <v>104.3</v>
      </c>
      <c r="M20" s="2">
        <v>106.4</v>
      </c>
      <c r="N20" s="2">
        <v>109.1</v>
      </c>
      <c r="O20" s="2">
        <v>112.1</v>
      </c>
      <c r="P20" s="2">
        <v>113.1</v>
      </c>
      <c r="Q20" s="2">
        <v>109.8</v>
      </c>
      <c r="R20" s="2">
        <v>110.5</v>
      </c>
      <c r="S20" s="2">
        <v>109.5</v>
      </c>
      <c r="T20" s="2">
        <v>110.3</v>
      </c>
      <c r="U20" s="2" t="s">
        <v>32</v>
      </c>
      <c r="V20" s="2">
        <v>109.5</v>
      </c>
      <c r="W20" s="2">
        <v>108.3</v>
      </c>
      <c r="X20" s="2">
        <v>106.9</v>
      </c>
      <c r="Y20" s="2">
        <v>106.8</v>
      </c>
      <c r="Z20" s="2">
        <v>106.4</v>
      </c>
      <c r="AA20" s="2">
        <v>107.8</v>
      </c>
      <c r="AB20" s="2">
        <v>102.5</v>
      </c>
      <c r="AC20" s="2">
        <v>106.5</v>
      </c>
      <c r="AD20" s="2">
        <v>110.7</v>
      </c>
    </row>
    <row r="21" spans="1:30" ht="14.4" x14ac:dyDescent="0.3">
      <c r="A21" s="2" t="s">
        <v>33</v>
      </c>
      <c r="B21" s="2">
        <v>2013</v>
      </c>
      <c r="C21" s="2" t="s">
        <v>40</v>
      </c>
      <c r="D21" s="2">
        <v>117.8</v>
      </c>
      <c r="E21" s="2">
        <v>119.2</v>
      </c>
      <c r="F21" s="2">
        <v>114</v>
      </c>
      <c r="G21" s="2">
        <v>108.3</v>
      </c>
      <c r="H21" s="2">
        <v>101.1</v>
      </c>
      <c r="I21" s="2">
        <v>113.2</v>
      </c>
      <c r="J21" s="2">
        <v>160.9</v>
      </c>
      <c r="K21" s="2">
        <v>105.1</v>
      </c>
      <c r="L21" s="2">
        <v>101.3</v>
      </c>
      <c r="M21" s="2">
        <v>107.5</v>
      </c>
      <c r="N21" s="2">
        <v>110.4</v>
      </c>
      <c r="O21" s="2">
        <v>113.1</v>
      </c>
      <c r="P21" s="2">
        <v>117.5</v>
      </c>
      <c r="Q21" s="2">
        <v>111.7</v>
      </c>
      <c r="R21" s="2">
        <v>109.8</v>
      </c>
      <c r="S21" s="2">
        <v>107.8</v>
      </c>
      <c r="T21" s="2">
        <v>109.5</v>
      </c>
      <c r="U21" s="2">
        <v>107.7</v>
      </c>
      <c r="V21" s="2">
        <v>108.6</v>
      </c>
      <c r="W21" s="2">
        <v>108.1</v>
      </c>
      <c r="X21" s="2">
        <v>107.1</v>
      </c>
      <c r="Y21" s="2">
        <v>107.3</v>
      </c>
      <c r="Z21" s="2">
        <v>105.9</v>
      </c>
      <c r="AA21" s="2">
        <v>110.1</v>
      </c>
      <c r="AB21" s="2">
        <v>103.2</v>
      </c>
      <c r="AC21" s="2">
        <v>107.3</v>
      </c>
      <c r="AD21" s="2">
        <v>111.4</v>
      </c>
    </row>
    <row r="22" spans="1:30" ht="14.4" x14ac:dyDescent="0.3">
      <c r="A22" s="2" t="s">
        <v>34</v>
      </c>
      <c r="B22" s="2">
        <v>2013</v>
      </c>
      <c r="C22" s="2" t="s">
        <v>40</v>
      </c>
      <c r="D22" s="2">
        <v>114.8</v>
      </c>
      <c r="E22" s="2">
        <v>116.4</v>
      </c>
      <c r="F22" s="2">
        <v>111.9</v>
      </c>
      <c r="G22" s="2">
        <v>108.9</v>
      </c>
      <c r="H22" s="2">
        <v>104.3</v>
      </c>
      <c r="I22" s="2">
        <v>111.7</v>
      </c>
      <c r="J22" s="2">
        <v>140</v>
      </c>
      <c r="K22" s="2">
        <v>106.4</v>
      </c>
      <c r="L22" s="2">
        <v>103.3</v>
      </c>
      <c r="M22" s="2">
        <v>106.8</v>
      </c>
      <c r="N22" s="2">
        <v>109.6</v>
      </c>
      <c r="O22" s="2">
        <v>112.6</v>
      </c>
      <c r="P22" s="2">
        <v>114.7</v>
      </c>
      <c r="Q22" s="2">
        <v>110.3</v>
      </c>
      <c r="R22" s="2">
        <v>110.2</v>
      </c>
      <c r="S22" s="2">
        <v>108.8</v>
      </c>
      <c r="T22" s="2">
        <v>110</v>
      </c>
      <c r="U22" s="2">
        <v>107.7</v>
      </c>
      <c r="V22" s="2">
        <v>109.2</v>
      </c>
      <c r="W22" s="2">
        <v>108.2</v>
      </c>
      <c r="X22" s="2">
        <v>107</v>
      </c>
      <c r="Y22" s="2">
        <v>107.1</v>
      </c>
      <c r="Z22" s="2">
        <v>106.1</v>
      </c>
      <c r="AA22" s="2">
        <v>109.1</v>
      </c>
      <c r="AB22" s="2">
        <v>102.8</v>
      </c>
      <c r="AC22" s="2">
        <v>106.9</v>
      </c>
      <c r="AD22" s="2">
        <v>111</v>
      </c>
    </row>
    <row r="23" spans="1:30" ht="14.4" x14ac:dyDescent="0.3">
      <c r="A23" s="2" t="s">
        <v>30</v>
      </c>
      <c r="B23" s="2">
        <v>2013</v>
      </c>
      <c r="C23" s="2" t="s">
        <v>41</v>
      </c>
      <c r="D23" s="2">
        <v>114.3</v>
      </c>
      <c r="E23" s="2">
        <v>115.4</v>
      </c>
      <c r="F23" s="2">
        <v>111.1</v>
      </c>
      <c r="G23" s="2">
        <v>110</v>
      </c>
      <c r="H23" s="2">
        <v>106.4</v>
      </c>
      <c r="I23" s="2">
        <v>110.8</v>
      </c>
      <c r="J23" s="2">
        <v>138.9</v>
      </c>
      <c r="K23" s="2">
        <v>107.4</v>
      </c>
      <c r="L23" s="2">
        <v>104.1</v>
      </c>
      <c r="M23" s="2">
        <v>106.9</v>
      </c>
      <c r="N23" s="2">
        <v>109.7</v>
      </c>
      <c r="O23" s="2">
        <v>112.6</v>
      </c>
      <c r="P23" s="2">
        <v>114.9</v>
      </c>
      <c r="Q23" s="2">
        <v>110.7</v>
      </c>
      <c r="R23" s="2">
        <v>111.3</v>
      </c>
      <c r="S23" s="2">
        <v>110.2</v>
      </c>
      <c r="T23" s="2">
        <v>111.1</v>
      </c>
      <c r="U23" s="2" t="s">
        <v>32</v>
      </c>
      <c r="V23" s="2">
        <v>109.9</v>
      </c>
      <c r="W23" s="2">
        <v>108.7</v>
      </c>
      <c r="X23" s="2">
        <v>107.5</v>
      </c>
      <c r="Y23" s="2">
        <v>107.8</v>
      </c>
      <c r="Z23" s="2">
        <v>106.8</v>
      </c>
      <c r="AA23" s="2">
        <v>108.7</v>
      </c>
      <c r="AB23" s="2">
        <v>105</v>
      </c>
      <c r="AC23" s="2">
        <v>107.5</v>
      </c>
      <c r="AD23" s="2">
        <v>112.1</v>
      </c>
    </row>
    <row r="24" spans="1:30" ht="14.4" x14ac:dyDescent="0.3">
      <c r="A24" s="2" t="s">
        <v>33</v>
      </c>
      <c r="B24" s="2">
        <v>2013</v>
      </c>
      <c r="C24" s="2" t="s">
        <v>41</v>
      </c>
      <c r="D24" s="2">
        <v>118.3</v>
      </c>
      <c r="E24" s="2">
        <v>120.4</v>
      </c>
      <c r="F24" s="2">
        <v>112.7</v>
      </c>
      <c r="G24" s="2">
        <v>108.9</v>
      </c>
      <c r="H24" s="2">
        <v>101.1</v>
      </c>
      <c r="I24" s="2">
        <v>108.7</v>
      </c>
      <c r="J24" s="2">
        <v>177</v>
      </c>
      <c r="K24" s="2">
        <v>104.7</v>
      </c>
      <c r="L24" s="2">
        <v>101</v>
      </c>
      <c r="M24" s="2">
        <v>108.5</v>
      </c>
      <c r="N24" s="2">
        <v>110.9</v>
      </c>
      <c r="O24" s="2">
        <v>114.3</v>
      </c>
      <c r="P24" s="2">
        <v>119.6</v>
      </c>
      <c r="Q24" s="2">
        <v>112.4</v>
      </c>
      <c r="R24" s="2">
        <v>110.6</v>
      </c>
      <c r="S24" s="2">
        <v>108.3</v>
      </c>
      <c r="T24" s="2">
        <v>110.2</v>
      </c>
      <c r="U24" s="2">
        <v>108.9</v>
      </c>
      <c r="V24" s="2">
        <v>109.3</v>
      </c>
      <c r="W24" s="2">
        <v>108.7</v>
      </c>
      <c r="X24" s="2">
        <v>107.6</v>
      </c>
      <c r="Y24" s="2">
        <v>108.1</v>
      </c>
      <c r="Z24" s="2">
        <v>106.5</v>
      </c>
      <c r="AA24" s="2">
        <v>110.8</v>
      </c>
      <c r="AB24" s="2">
        <v>106</v>
      </c>
      <c r="AC24" s="2">
        <v>108.3</v>
      </c>
      <c r="AD24" s="2">
        <v>112.7</v>
      </c>
    </row>
    <row r="25" spans="1:30" ht="14.4" x14ac:dyDescent="0.3">
      <c r="A25" s="2" t="s">
        <v>34</v>
      </c>
      <c r="B25" s="2">
        <v>2013</v>
      </c>
      <c r="C25" s="2" t="s">
        <v>41</v>
      </c>
      <c r="D25" s="2">
        <v>115.6</v>
      </c>
      <c r="E25" s="2">
        <v>117.2</v>
      </c>
      <c r="F25" s="2">
        <v>111.7</v>
      </c>
      <c r="G25" s="2">
        <v>109.6</v>
      </c>
      <c r="H25" s="2">
        <v>104.5</v>
      </c>
      <c r="I25" s="2">
        <v>109.8</v>
      </c>
      <c r="J25" s="2">
        <v>151.80000000000001</v>
      </c>
      <c r="K25" s="2">
        <v>106.5</v>
      </c>
      <c r="L25" s="2">
        <v>103.1</v>
      </c>
      <c r="M25" s="2">
        <v>107.4</v>
      </c>
      <c r="N25" s="2">
        <v>110.2</v>
      </c>
      <c r="O25" s="2">
        <v>113.4</v>
      </c>
      <c r="P25" s="2">
        <v>116.6</v>
      </c>
      <c r="Q25" s="2">
        <v>111.2</v>
      </c>
      <c r="R25" s="2">
        <v>111</v>
      </c>
      <c r="S25" s="2">
        <v>109.4</v>
      </c>
      <c r="T25" s="2">
        <v>110.7</v>
      </c>
      <c r="U25" s="2">
        <v>108.9</v>
      </c>
      <c r="V25" s="2">
        <v>109.7</v>
      </c>
      <c r="W25" s="2">
        <v>108.7</v>
      </c>
      <c r="X25" s="2">
        <v>107.5</v>
      </c>
      <c r="Y25" s="2">
        <v>108</v>
      </c>
      <c r="Z25" s="2">
        <v>106.6</v>
      </c>
      <c r="AA25" s="2">
        <v>109.9</v>
      </c>
      <c r="AB25" s="2">
        <v>105.4</v>
      </c>
      <c r="AC25" s="2">
        <v>107.9</v>
      </c>
      <c r="AD25" s="2">
        <v>112.4</v>
      </c>
    </row>
    <row r="26" spans="1:30" ht="14.4" x14ac:dyDescent="0.3">
      <c r="A26" s="2" t="s">
        <v>30</v>
      </c>
      <c r="B26" s="2">
        <v>2013</v>
      </c>
      <c r="C26" s="2" t="s">
        <v>42</v>
      </c>
      <c r="D26" s="2">
        <v>115.4</v>
      </c>
      <c r="E26" s="2">
        <v>115.7</v>
      </c>
      <c r="F26" s="2">
        <v>111.7</v>
      </c>
      <c r="G26" s="2">
        <v>111</v>
      </c>
      <c r="H26" s="2">
        <v>107.4</v>
      </c>
      <c r="I26" s="2">
        <v>110.9</v>
      </c>
      <c r="J26" s="2">
        <v>154</v>
      </c>
      <c r="K26" s="2">
        <v>108.1</v>
      </c>
      <c r="L26" s="2">
        <v>104.2</v>
      </c>
      <c r="M26" s="2">
        <v>107.9</v>
      </c>
      <c r="N26" s="2">
        <v>110.4</v>
      </c>
      <c r="O26" s="2">
        <v>114</v>
      </c>
      <c r="P26" s="2">
        <v>117.8</v>
      </c>
      <c r="Q26" s="2">
        <v>111.7</v>
      </c>
      <c r="R26" s="2">
        <v>112.7</v>
      </c>
      <c r="S26" s="2">
        <v>111.4</v>
      </c>
      <c r="T26" s="2">
        <v>112.5</v>
      </c>
      <c r="U26" s="2" t="s">
        <v>32</v>
      </c>
      <c r="V26" s="2">
        <v>111.1</v>
      </c>
      <c r="W26" s="2">
        <v>109.6</v>
      </c>
      <c r="X26" s="2">
        <v>108.3</v>
      </c>
      <c r="Y26" s="2">
        <v>109.3</v>
      </c>
      <c r="Z26" s="2">
        <v>107.7</v>
      </c>
      <c r="AA26" s="2">
        <v>109.8</v>
      </c>
      <c r="AB26" s="2">
        <v>106.7</v>
      </c>
      <c r="AC26" s="2">
        <v>108.7</v>
      </c>
      <c r="AD26" s="2">
        <v>114.2</v>
      </c>
    </row>
    <row r="27" spans="1:30" ht="14.4" x14ac:dyDescent="0.3">
      <c r="A27" s="2" t="s">
        <v>33</v>
      </c>
      <c r="B27" s="2">
        <v>2013</v>
      </c>
      <c r="C27" s="2" t="s">
        <v>42</v>
      </c>
      <c r="D27" s="2">
        <v>118.6</v>
      </c>
      <c r="E27" s="2">
        <v>119.1</v>
      </c>
      <c r="F27" s="2">
        <v>113.2</v>
      </c>
      <c r="G27" s="2">
        <v>109.6</v>
      </c>
      <c r="H27" s="2">
        <v>101.7</v>
      </c>
      <c r="I27" s="2">
        <v>103.2</v>
      </c>
      <c r="J27" s="2">
        <v>174.3</v>
      </c>
      <c r="K27" s="2">
        <v>105.1</v>
      </c>
      <c r="L27" s="2">
        <v>100.8</v>
      </c>
      <c r="M27" s="2">
        <v>109.1</v>
      </c>
      <c r="N27" s="2">
        <v>111.1</v>
      </c>
      <c r="O27" s="2">
        <v>115.4</v>
      </c>
      <c r="P27" s="2">
        <v>119.2</v>
      </c>
      <c r="Q27" s="2">
        <v>112.9</v>
      </c>
      <c r="R27" s="2">
        <v>111.4</v>
      </c>
      <c r="S27" s="2">
        <v>109</v>
      </c>
      <c r="T27" s="2">
        <v>111.1</v>
      </c>
      <c r="U27" s="2">
        <v>109.7</v>
      </c>
      <c r="V27" s="2">
        <v>109.5</v>
      </c>
      <c r="W27" s="2">
        <v>109.6</v>
      </c>
      <c r="X27" s="2">
        <v>107.9</v>
      </c>
      <c r="Y27" s="2">
        <v>110.4</v>
      </c>
      <c r="Z27" s="2">
        <v>107.4</v>
      </c>
      <c r="AA27" s="2">
        <v>111.2</v>
      </c>
      <c r="AB27" s="2">
        <v>106.9</v>
      </c>
      <c r="AC27" s="2">
        <v>109.4</v>
      </c>
      <c r="AD27" s="2">
        <v>113.2</v>
      </c>
    </row>
    <row r="28" spans="1:30" ht="14.4" x14ac:dyDescent="0.3">
      <c r="A28" s="2" t="s">
        <v>34</v>
      </c>
      <c r="B28" s="2">
        <v>2013</v>
      </c>
      <c r="C28" s="2" t="s">
        <v>42</v>
      </c>
      <c r="D28" s="2">
        <v>116.4</v>
      </c>
      <c r="E28" s="2">
        <v>116.9</v>
      </c>
      <c r="F28" s="2">
        <v>112.3</v>
      </c>
      <c r="G28" s="2">
        <v>110.5</v>
      </c>
      <c r="H28" s="2">
        <v>105.3</v>
      </c>
      <c r="I28" s="2">
        <v>107.3</v>
      </c>
      <c r="J28" s="2">
        <v>160.9</v>
      </c>
      <c r="K28" s="2">
        <v>107.1</v>
      </c>
      <c r="L28" s="2">
        <v>103.1</v>
      </c>
      <c r="M28" s="2">
        <v>108.3</v>
      </c>
      <c r="N28" s="2">
        <v>110.7</v>
      </c>
      <c r="O28" s="2">
        <v>114.6</v>
      </c>
      <c r="P28" s="2">
        <v>118.3</v>
      </c>
      <c r="Q28" s="2">
        <v>112</v>
      </c>
      <c r="R28" s="2">
        <v>112.2</v>
      </c>
      <c r="S28" s="2">
        <v>110.4</v>
      </c>
      <c r="T28" s="2">
        <v>111.9</v>
      </c>
      <c r="U28" s="2">
        <v>109.7</v>
      </c>
      <c r="V28" s="2">
        <v>110.5</v>
      </c>
      <c r="W28" s="2">
        <v>109.6</v>
      </c>
      <c r="X28" s="2">
        <v>108.1</v>
      </c>
      <c r="Y28" s="2">
        <v>109.9</v>
      </c>
      <c r="Z28" s="2">
        <v>107.5</v>
      </c>
      <c r="AA28" s="2">
        <v>110.6</v>
      </c>
      <c r="AB28" s="2">
        <v>106.8</v>
      </c>
      <c r="AC28" s="2">
        <v>109</v>
      </c>
      <c r="AD28" s="2">
        <v>113.7</v>
      </c>
    </row>
    <row r="29" spans="1:30" ht="14.4" x14ac:dyDescent="0.3">
      <c r="A29" s="2" t="s">
        <v>30</v>
      </c>
      <c r="B29" s="2">
        <v>2013</v>
      </c>
      <c r="C29" s="2" t="s">
        <v>43</v>
      </c>
      <c r="D29" s="2">
        <v>116.3</v>
      </c>
      <c r="E29" s="2">
        <v>115.4</v>
      </c>
      <c r="F29" s="2">
        <v>112.6</v>
      </c>
      <c r="G29" s="2">
        <v>111.7</v>
      </c>
      <c r="H29" s="2">
        <v>107.7</v>
      </c>
      <c r="I29" s="2">
        <v>113.2</v>
      </c>
      <c r="J29" s="2">
        <v>164.9</v>
      </c>
      <c r="K29" s="2">
        <v>108.3</v>
      </c>
      <c r="L29" s="2">
        <v>103.9</v>
      </c>
      <c r="M29" s="2">
        <v>108.2</v>
      </c>
      <c r="N29" s="2">
        <v>111.1</v>
      </c>
      <c r="O29" s="2">
        <v>114.9</v>
      </c>
      <c r="P29" s="2">
        <v>119.8</v>
      </c>
      <c r="Q29" s="2">
        <v>112.2</v>
      </c>
      <c r="R29" s="2">
        <v>113.6</v>
      </c>
      <c r="S29" s="2">
        <v>112.3</v>
      </c>
      <c r="T29" s="2">
        <v>113.4</v>
      </c>
      <c r="U29" s="2" t="s">
        <v>32</v>
      </c>
      <c r="V29" s="2">
        <v>111.6</v>
      </c>
      <c r="W29" s="2">
        <v>110.4</v>
      </c>
      <c r="X29" s="2">
        <v>108.9</v>
      </c>
      <c r="Y29" s="2">
        <v>109.3</v>
      </c>
      <c r="Z29" s="2">
        <v>108.3</v>
      </c>
      <c r="AA29" s="2">
        <v>110.2</v>
      </c>
      <c r="AB29" s="2">
        <v>107.5</v>
      </c>
      <c r="AC29" s="2">
        <v>109.1</v>
      </c>
      <c r="AD29" s="2">
        <v>115.5</v>
      </c>
    </row>
    <row r="30" spans="1:30" ht="14.4" x14ac:dyDescent="0.3">
      <c r="A30" s="2" t="s">
        <v>33</v>
      </c>
      <c r="B30" s="2">
        <v>2013</v>
      </c>
      <c r="C30" s="2" t="s">
        <v>43</v>
      </c>
      <c r="D30" s="2">
        <v>118.9</v>
      </c>
      <c r="E30" s="2">
        <v>118.1</v>
      </c>
      <c r="F30" s="2">
        <v>114.5</v>
      </c>
      <c r="G30" s="2">
        <v>110.4</v>
      </c>
      <c r="H30" s="2">
        <v>102.3</v>
      </c>
      <c r="I30" s="2">
        <v>106.2</v>
      </c>
      <c r="J30" s="2">
        <v>183.5</v>
      </c>
      <c r="K30" s="2">
        <v>105.3</v>
      </c>
      <c r="L30" s="2">
        <v>100.2</v>
      </c>
      <c r="M30" s="2">
        <v>109.6</v>
      </c>
      <c r="N30" s="2">
        <v>111.4</v>
      </c>
      <c r="O30" s="2">
        <v>116</v>
      </c>
      <c r="P30" s="2">
        <v>120.8</v>
      </c>
      <c r="Q30" s="2">
        <v>113.5</v>
      </c>
      <c r="R30" s="2">
        <v>112.5</v>
      </c>
      <c r="S30" s="2">
        <v>109.7</v>
      </c>
      <c r="T30" s="2">
        <v>112</v>
      </c>
      <c r="U30" s="2">
        <v>110.5</v>
      </c>
      <c r="V30" s="2">
        <v>109.7</v>
      </c>
      <c r="W30" s="2">
        <v>110.2</v>
      </c>
      <c r="X30" s="2">
        <v>108.2</v>
      </c>
      <c r="Y30" s="2">
        <v>109.7</v>
      </c>
      <c r="Z30" s="2">
        <v>108</v>
      </c>
      <c r="AA30" s="2">
        <v>111.3</v>
      </c>
      <c r="AB30" s="2">
        <v>107.3</v>
      </c>
      <c r="AC30" s="2">
        <v>109.4</v>
      </c>
      <c r="AD30" s="2">
        <v>114</v>
      </c>
    </row>
    <row r="31" spans="1:30" ht="14.4" x14ac:dyDescent="0.3">
      <c r="A31" s="2" t="s">
        <v>34</v>
      </c>
      <c r="B31" s="2">
        <v>2013</v>
      </c>
      <c r="C31" s="2" t="s">
        <v>43</v>
      </c>
      <c r="D31" s="2">
        <v>117.1</v>
      </c>
      <c r="E31" s="2">
        <v>116.3</v>
      </c>
      <c r="F31" s="2">
        <v>113.3</v>
      </c>
      <c r="G31" s="2">
        <v>111.2</v>
      </c>
      <c r="H31" s="2">
        <v>105.7</v>
      </c>
      <c r="I31" s="2">
        <v>109.9</v>
      </c>
      <c r="J31" s="2">
        <v>171.2</v>
      </c>
      <c r="K31" s="2">
        <v>107.3</v>
      </c>
      <c r="L31" s="2">
        <v>102.7</v>
      </c>
      <c r="M31" s="2">
        <v>108.7</v>
      </c>
      <c r="N31" s="2">
        <v>111.2</v>
      </c>
      <c r="O31" s="2">
        <v>115.4</v>
      </c>
      <c r="P31" s="2">
        <v>120.2</v>
      </c>
      <c r="Q31" s="2">
        <v>112.5</v>
      </c>
      <c r="R31" s="2">
        <v>113.2</v>
      </c>
      <c r="S31" s="2">
        <v>111.2</v>
      </c>
      <c r="T31" s="2">
        <v>112.8</v>
      </c>
      <c r="U31" s="2">
        <v>110.5</v>
      </c>
      <c r="V31" s="2">
        <v>110.9</v>
      </c>
      <c r="W31" s="2">
        <v>110.3</v>
      </c>
      <c r="X31" s="2">
        <v>108.6</v>
      </c>
      <c r="Y31" s="2">
        <v>109.5</v>
      </c>
      <c r="Z31" s="2">
        <v>108.1</v>
      </c>
      <c r="AA31" s="2">
        <v>110.8</v>
      </c>
      <c r="AB31" s="2">
        <v>107.4</v>
      </c>
      <c r="AC31" s="2">
        <v>109.2</v>
      </c>
      <c r="AD31" s="2">
        <v>114.8</v>
      </c>
    </row>
    <row r="32" spans="1:30" ht="14.4" x14ac:dyDescent="0.3">
      <c r="A32" s="2" t="s">
        <v>30</v>
      </c>
      <c r="B32" s="2">
        <v>2013</v>
      </c>
      <c r="C32" s="2" t="s">
        <v>44</v>
      </c>
      <c r="D32" s="2">
        <v>117.3</v>
      </c>
      <c r="E32" s="2">
        <v>114.9</v>
      </c>
      <c r="F32" s="2">
        <v>116.2</v>
      </c>
      <c r="G32" s="2">
        <v>112.8</v>
      </c>
      <c r="H32" s="2">
        <v>108.9</v>
      </c>
      <c r="I32" s="2">
        <v>116.6</v>
      </c>
      <c r="J32" s="2">
        <v>178.1</v>
      </c>
      <c r="K32" s="2">
        <v>109.1</v>
      </c>
      <c r="L32" s="2">
        <v>103.6</v>
      </c>
      <c r="M32" s="2">
        <v>109</v>
      </c>
      <c r="N32" s="2">
        <v>111.8</v>
      </c>
      <c r="O32" s="2">
        <v>116</v>
      </c>
      <c r="P32" s="2">
        <v>122.5</v>
      </c>
      <c r="Q32" s="2">
        <v>112.8</v>
      </c>
      <c r="R32" s="2">
        <v>114.6</v>
      </c>
      <c r="S32" s="2">
        <v>113.1</v>
      </c>
      <c r="T32" s="2">
        <v>114.4</v>
      </c>
      <c r="U32" s="2" t="s">
        <v>32</v>
      </c>
      <c r="V32" s="2">
        <v>112.6</v>
      </c>
      <c r="W32" s="2">
        <v>111.3</v>
      </c>
      <c r="X32" s="2">
        <v>109.7</v>
      </c>
      <c r="Y32" s="2">
        <v>109.6</v>
      </c>
      <c r="Z32" s="2">
        <v>108.7</v>
      </c>
      <c r="AA32" s="2">
        <v>111</v>
      </c>
      <c r="AB32" s="2">
        <v>108.2</v>
      </c>
      <c r="AC32" s="2">
        <v>109.8</v>
      </c>
      <c r="AD32" s="2">
        <v>117.4</v>
      </c>
    </row>
    <row r="33" spans="1:30" ht="14.4" x14ac:dyDescent="0.3">
      <c r="A33" s="2" t="s">
        <v>33</v>
      </c>
      <c r="B33" s="2">
        <v>2013</v>
      </c>
      <c r="C33" s="2" t="s">
        <v>44</v>
      </c>
      <c r="D33" s="2">
        <v>119.8</v>
      </c>
      <c r="E33" s="2">
        <v>116.3</v>
      </c>
      <c r="F33" s="2">
        <v>122.6</v>
      </c>
      <c r="G33" s="2">
        <v>112</v>
      </c>
      <c r="H33" s="2">
        <v>103.2</v>
      </c>
      <c r="I33" s="2">
        <v>110</v>
      </c>
      <c r="J33" s="2">
        <v>192.8</v>
      </c>
      <c r="K33" s="2">
        <v>106.3</v>
      </c>
      <c r="L33" s="2">
        <v>99.5</v>
      </c>
      <c r="M33" s="2">
        <v>110.3</v>
      </c>
      <c r="N33" s="2">
        <v>111.8</v>
      </c>
      <c r="O33" s="2">
        <v>117.1</v>
      </c>
      <c r="P33" s="2">
        <v>122.9</v>
      </c>
      <c r="Q33" s="2">
        <v>114.1</v>
      </c>
      <c r="R33" s="2">
        <v>113.5</v>
      </c>
      <c r="S33" s="2">
        <v>110.3</v>
      </c>
      <c r="T33" s="2">
        <v>113</v>
      </c>
      <c r="U33" s="2">
        <v>111.1</v>
      </c>
      <c r="V33" s="2">
        <v>110</v>
      </c>
      <c r="W33" s="2">
        <v>110.9</v>
      </c>
      <c r="X33" s="2">
        <v>108.6</v>
      </c>
      <c r="Y33" s="2">
        <v>109.5</v>
      </c>
      <c r="Z33" s="2">
        <v>108.5</v>
      </c>
      <c r="AA33" s="2">
        <v>111.3</v>
      </c>
      <c r="AB33" s="2">
        <v>107.9</v>
      </c>
      <c r="AC33" s="2">
        <v>109.6</v>
      </c>
      <c r="AD33" s="2">
        <v>115</v>
      </c>
    </row>
    <row r="34" spans="1:30" ht="14.4" x14ac:dyDescent="0.3">
      <c r="A34" s="2" t="s">
        <v>34</v>
      </c>
      <c r="B34" s="2">
        <v>2013</v>
      </c>
      <c r="C34" s="2" t="s">
        <v>44</v>
      </c>
      <c r="D34" s="2">
        <v>118.1</v>
      </c>
      <c r="E34" s="2">
        <v>115.4</v>
      </c>
      <c r="F34" s="2">
        <v>118.7</v>
      </c>
      <c r="G34" s="2">
        <v>112.5</v>
      </c>
      <c r="H34" s="2">
        <v>106.8</v>
      </c>
      <c r="I34" s="2">
        <v>113.5</v>
      </c>
      <c r="J34" s="2">
        <v>183.1</v>
      </c>
      <c r="K34" s="2">
        <v>108.2</v>
      </c>
      <c r="L34" s="2">
        <v>102.2</v>
      </c>
      <c r="M34" s="2">
        <v>109.4</v>
      </c>
      <c r="N34" s="2">
        <v>111.8</v>
      </c>
      <c r="O34" s="2">
        <v>116.5</v>
      </c>
      <c r="P34" s="2">
        <v>122.6</v>
      </c>
      <c r="Q34" s="2">
        <v>113.1</v>
      </c>
      <c r="R34" s="2">
        <v>114.2</v>
      </c>
      <c r="S34" s="2">
        <v>111.9</v>
      </c>
      <c r="T34" s="2">
        <v>113.8</v>
      </c>
      <c r="U34" s="2">
        <v>111.1</v>
      </c>
      <c r="V34" s="2">
        <v>111.6</v>
      </c>
      <c r="W34" s="2">
        <v>111.1</v>
      </c>
      <c r="X34" s="2">
        <v>109.3</v>
      </c>
      <c r="Y34" s="2">
        <v>109.5</v>
      </c>
      <c r="Z34" s="2">
        <v>108.6</v>
      </c>
      <c r="AA34" s="2">
        <v>111.2</v>
      </c>
      <c r="AB34" s="2">
        <v>108.1</v>
      </c>
      <c r="AC34" s="2">
        <v>109.7</v>
      </c>
      <c r="AD34" s="2">
        <v>116.3</v>
      </c>
    </row>
    <row r="35" spans="1:30" ht="14.4" x14ac:dyDescent="0.3">
      <c r="A35" s="2" t="s">
        <v>30</v>
      </c>
      <c r="B35" s="2">
        <v>2013</v>
      </c>
      <c r="C35" s="2" t="s">
        <v>45</v>
      </c>
      <c r="D35" s="2">
        <v>118.4</v>
      </c>
      <c r="E35" s="2">
        <v>115.9</v>
      </c>
      <c r="F35" s="2">
        <v>120.4</v>
      </c>
      <c r="G35" s="2">
        <v>113.8</v>
      </c>
      <c r="H35" s="2">
        <v>109.5</v>
      </c>
      <c r="I35" s="2">
        <v>115.5</v>
      </c>
      <c r="J35" s="2">
        <v>145.69999999999999</v>
      </c>
      <c r="K35" s="2">
        <v>109.5</v>
      </c>
      <c r="L35" s="2">
        <v>102.9</v>
      </c>
      <c r="M35" s="2">
        <v>109.8</v>
      </c>
      <c r="N35" s="2">
        <v>112.1</v>
      </c>
      <c r="O35" s="2">
        <v>116.8</v>
      </c>
      <c r="P35" s="2">
        <v>118.7</v>
      </c>
      <c r="Q35" s="2">
        <v>113.6</v>
      </c>
      <c r="R35" s="2">
        <v>115.8</v>
      </c>
      <c r="S35" s="2">
        <v>114</v>
      </c>
      <c r="T35" s="2">
        <v>115.5</v>
      </c>
      <c r="U35" s="2" t="s">
        <v>32</v>
      </c>
      <c r="V35" s="2">
        <v>112.8</v>
      </c>
      <c r="W35" s="2">
        <v>112.1</v>
      </c>
      <c r="X35" s="2">
        <v>110.1</v>
      </c>
      <c r="Y35" s="2">
        <v>109.9</v>
      </c>
      <c r="Z35" s="2">
        <v>109.2</v>
      </c>
      <c r="AA35" s="2">
        <v>111.6</v>
      </c>
      <c r="AB35" s="2">
        <v>108.1</v>
      </c>
      <c r="AC35" s="2">
        <v>110.1</v>
      </c>
      <c r="AD35" s="2">
        <v>115.5</v>
      </c>
    </row>
    <row r="36" spans="1:30" ht="14.4" x14ac:dyDescent="0.3">
      <c r="A36" s="2" t="s">
        <v>33</v>
      </c>
      <c r="B36" s="2">
        <v>2013</v>
      </c>
      <c r="C36" s="2" t="s">
        <v>45</v>
      </c>
      <c r="D36" s="2">
        <v>120.5</v>
      </c>
      <c r="E36" s="2">
        <v>118.1</v>
      </c>
      <c r="F36" s="2">
        <v>128.5</v>
      </c>
      <c r="G36" s="2">
        <v>112.8</v>
      </c>
      <c r="H36" s="2">
        <v>103.4</v>
      </c>
      <c r="I36" s="2">
        <v>110.7</v>
      </c>
      <c r="J36" s="2">
        <v>144.80000000000001</v>
      </c>
      <c r="K36" s="2">
        <v>107.1</v>
      </c>
      <c r="L36" s="2">
        <v>98.6</v>
      </c>
      <c r="M36" s="2">
        <v>111.9</v>
      </c>
      <c r="N36" s="2">
        <v>112.1</v>
      </c>
      <c r="O36" s="2">
        <v>118.1</v>
      </c>
      <c r="P36" s="2">
        <v>117.8</v>
      </c>
      <c r="Q36" s="2">
        <v>115</v>
      </c>
      <c r="R36" s="2">
        <v>114.2</v>
      </c>
      <c r="S36" s="2">
        <v>110.9</v>
      </c>
      <c r="T36" s="2">
        <v>113.7</v>
      </c>
      <c r="U36" s="2">
        <v>110.7</v>
      </c>
      <c r="V36" s="2">
        <v>110.4</v>
      </c>
      <c r="W36" s="2">
        <v>111.3</v>
      </c>
      <c r="X36" s="2">
        <v>109</v>
      </c>
      <c r="Y36" s="2">
        <v>109.7</v>
      </c>
      <c r="Z36" s="2">
        <v>108.9</v>
      </c>
      <c r="AA36" s="2">
        <v>111.4</v>
      </c>
      <c r="AB36" s="2">
        <v>107.7</v>
      </c>
      <c r="AC36" s="2">
        <v>109.8</v>
      </c>
      <c r="AD36" s="2">
        <v>113.3</v>
      </c>
    </row>
    <row r="37" spans="1:30" ht="14.4" x14ac:dyDescent="0.3">
      <c r="A37" s="2" t="s">
        <v>34</v>
      </c>
      <c r="B37" s="2">
        <v>2013</v>
      </c>
      <c r="C37" s="2" t="s">
        <v>45</v>
      </c>
      <c r="D37" s="2">
        <v>119.1</v>
      </c>
      <c r="E37" s="2">
        <v>116.7</v>
      </c>
      <c r="F37" s="2">
        <v>123.5</v>
      </c>
      <c r="G37" s="2">
        <v>113.4</v>
      </c>
      <c r="H37" s="2">
        <v>107.3</v>
      </c>
      <c r="I37" s="2">
        <v>113.3</v>
      </c>
      <c r="J37" s="2">
        <v>145.4</v>
      </c>
      <c r="K37" s="2">
        <v>108.7</v>
      </c>
      <c r="L37" s="2">
        <v>101.5</v>
      </c>
      <c r="M37" s="2">
        <v>110.5</v>
      </c>
      <c r="N37" s="2">
        <v>112.1</v>
      </c>
      <c r="O37" s="2">
        <v>117.4</v>
      </c>
      <c r="P37" s="2">
        <v>118.4</v>
      </c>
      <c r="Q37" s="2">
        <v>114</v>
      </c>
      <c r="R37" s="2">
        <v>115.2</v>
      </c>
      <c r="S37" s="2">
        <v>112.7</v>
      </c>
      <c r="T37" s="2">
        <v>114.8</v>
      </c>
      <c r="U37" s="2">
        <v>110.7</v>
      </c>
      <c r="V37" s="2">
        <v>111.9</v>
      </c>
      <c r="W37" s="2">
        <v>111.7</v>
      </c>
      <c r="X37" s="2">
        <v>109.7</v>
      </c>
      <c r="Y37" s="2">
        <v>109.8</v>
      </c>
      <c r="Z37" s="2">
        <v>109</v>
      </c>
      <c r="AA37" s="2">
        <v>111.5</v>
      </c>
      <c r="AB37" s="2">
        <v>107.9</v>
      </c>
      <c r="AC37" s="2">
        <v>110</v>
      </c>
      <c r="AD37" s="2">
        <v>114.5</v>
      </c>
    </row>
    <row r="38" spans="1:30" ht="14.4" x14ac:dyDescent="0.3">
      <c r="A38" s="2" t="s">
        <v>30</v>
      </c>
      <c r="B38" s="2">
        <v>2014</v>
      </c>
      <c r="C38" s="2" t="s">
        <v>31</v>
      </c>
      <c r="D38" s="2">
        <v>118.9</v>
      </c>
      <c r="E38" s="2">
        <v>117.1</v>
      </c>
      <c r="F38" s="2">
        <v>120.5</v>
      </c>
      <c r="G38" s="2">
        <v>114.4</v>
      </c>
      <c r="H38" s="2">
        <v>109</v>
      </c>
      <c r="I38" s="2">
        <v>115.5</v>
      </c>
      <c r="J38" s="2">
        <v>123.9</v>
      </c>
      <c r="K38" s="2">
        <v>109.6</v>
      </c>
      <c r="L38" s="2">
        <v>101.8</v>
      </c>
      <c r="M38" s="2">
        <v>110.2</v>
      </c>
      <c r="N38" s="2">
        <v>112.4</v>
      </c>
      <c r="O38" s="2">
        <v>117.3</v>
      </c>
      <c r="P38" s="2">
        <v>116</v>
      </c>
      <c r="Q38" s="2">
        <v>114</v>
      </c>
      <c r="R38" s="2">
        <v>116.5</v>
      </c>
      <c r="S38" s="2">
        <v>114.5</v>
      </c>
      <c r="T38" s="2">
        <v>116.2</v>
      </c>
      <c r="U38" s="2" t="s">
        <v>32</v>
      </c>
      <c r="V38" s="2">
        <v>113</v>
      </c>
      <c r="W38" s="2">
        <v>112.6</v>
      </c>
      <c r="X38" s="2">
        <v>110.6</v>
      </c>
      <c r="Y38" s="2">
        <v>110.5</v>
      </c>
      <c r="Z38" s="2">
        <v>109.6</v>
      </c>
      <c r="AA38" s="2">
        <v>111.8</v>
      </c>
      <c r="AB38" s="2">
        <v>108.3</v>
      </c>
      <c r="AC38" s="2">
        <v>110.6</v>
      </c>
      <c r="AD38" s="2">
        <v>114.2</v>
      </c>
    </row>
    <row r="39" spans="1:30" ht="14.4" x14ac:dyDescent="0.3">
      <c r="A39" s="2" t="s">
        <v>33</v>
      </c>
      <c r="B39" s="2">
        <v>2014</v>
      </c>
      <c r="C39" s="2" t="s">
        <v>31</v>
      </c>
      <c r="D39" s="2">
        <v>121.2</v>
      </c>
      <c r="E39" s="2">
        <v>122</v>
      </c>
      <c r="F39" s="2">
        <v>129.9</v>
      </c>
      <c r="G39" s="2">
        <v>113.6</v>
      </c>
      <c r="H39" s="2">
        <v>102.9</v>
      </c>
      <c r="I39" s="2">
        <v>112.1</v>
      </c>
      <c r="J39" s="2">
        <v>118.9</v>
      </c>
      <c r="K39" s="2">
        <v>107.5</v>
      </c>
      <c r="L39" s="2">
        <v>96.9</v>
      </c>
      <c r="M39" s="2">
        <v>112.7</v>
      </c>
      <c r="N39" s="2">
        <v>112.1</v>
      </c>
      <c r="O39" s="2">
        <v>119</v>
      </c>
      <c r="P39" s="2">
        <v>115.5</v>
      </c>
      <c r="Q39" s="2">
        <v>115.7</v>
      </c>
      <c r="R39" s="2">
        <v>114.8</v>
      </c>
      <c r="S39" s="2">
        <v>111.3</v>
      </c>
      <c r="T39" s="2">
        <v>114.3</v>
      </c>
      <c r="U39" s="2">
        <v>111.6</v>
      </c>
      <c r="V39" s="2">
        <v>111</v>
      </c>
      <c r="W39" s="2">
        <v>111.9</v>
      </c>
      <c r="X39" s="2">
        <v>109.7</v>
      </c>
      <c r="Y39" s="2">
        <v>110.8</v>
      </c>
      <c r="Z39" s="2">
        <v>109.8</v>
      </c>
      <c r="AA39" s="2">
        <v>111.5</v>
      </c>
      <c r="AB39" s="2">
        <v>108</v>
      </c>
      <c r="AC39" s="2">
        <v>110.5</v>
      </c>
      <c r="AD39" s="2">
        <v>112.9</v>
      </c>
    </row>
    <row r="40" spans="1:30" ht="14.4" x14ac:dyDescent="0.3">
      <c r="A40" s="2" t="s">
        <v>34</v>
      </c>
      <c r="B40" s="2">
        <v>2014</v>
      </c>
      <c r="C40" s="2" t="s">
        <v>31</v>
      </c>
      <c r="D40" s="2">
        <v>119.6</v>
      </c>
      <c r="E40" s="2">
        <v>118.8</v>
      </c>
      <c r="F40" s="2">
        <v>124.1</v>
      </c>
      <c r="G40" s="2">
        <v>114.1</v>
      </c>
      <c r="H40" s="2">
        <v>106.8</v>
      </c>
      <c r="I40" s="2">
        <v>113.9</v>
      </c>
      <c r="J40" s="2">
        <v>122.2</v>
      </c>
      <c r="K40" s="2">
        <v>108.9</v>
      </c>
      <c r="L40" s="2">
        <v>100.2</v>
      </c>
      <c r="M40" s="2">
        <v>111</v>
      </c>
      <c r="N40" s="2">
        <v>112.3</v>
      </c>
      <c r="O40" s="2">
        <v>118.1</v>
      </c>
      <c r="P40" s="2">
        <v>115.8</v>
      </c>
      <c r="Q40" s="2">
        <v>114.5</v>
      </c>
      <c r="R40" s="2">
        <v>115.8</v>
      </c>
      <c r="S40" s="2">
        <v>113.2</v>
      </c>
      <c r="T40" s="2">
        <v>115.4</v>
      </c>
      <c r="U40" s="2">
        <v>111.6</v>
      </c>
      <c r="V40" s="2">
        <v>112.2</v>
      </c>
      <c r="W40" s="2">
        <v>112.3</v>
      </c>
      <c r="X40" s="2">
        <v>110.3</v>
      </c>
      <c r="Y40" s="2">
        <v>110.7</v>
      </c>
      <c r="Z40" s="2">
        <v>109.7</v>
      </c>
      <c r="AA40" s="2">
        <v>111.6</v>
      </c>
      <c r="AB40" s="2">
        <v>108.2</v>
      </c>
      <c r="AC40" s="2">
        <v>110.6</v>
      </c>
      <c r="AD40" s="2">
        <v>113.6</v>
      </c>
    </row>
    <row r="41" spans="1:30" ht="14.4" x14ac:dyDescent="0.3">
      <c r="A41" s="2" t="s">
        <v>30</v>
      </c>
      <c r="B41" s="2">
        <v>2014</v>
      </c>
      <c r="C41" s="2" t="s">
        <v>35</v>
      </c>
      <c r="D41" s="2">
        <v>119.4</v>
      </c>
      <c r="E41" s="2">
        <v>117.7</v>
      </c>
      <c r="F41" s="2">
        <v>121.2</v>
      </c>
      <c r="G41" s="2">
        <v>115</v>
      </c>
      <c r="H41" s="2">
        <v>109</v>
      </c>
      <c r="I41" s="2">
        <v>116.6</v>
      </c>
      <c r="J41" s="2">
        <v>116</v>
      </c>
      <c r="K41" s="2">
        <v>109.8</v>
      </c>
      <c r="L41" s="2">
        <v>101.1</v>
      </c>
      <c r="M41" s="2">
        <v>110.4</v>
      </c>
      <c r="N41" s="2">
        <v>112.9</v>
      </c>
      <c r="O41" s="2">
        <v>117.8</v>
      </c>
      <c r="P41" s="2">
        <v>115.3</v>
      </c>
      <c r="Q41" s="2">
        <v>114.2</v>
      </c>
      <c r="R41" s="2">
        <v>117.1</v>
      </c>
      <c r="S41" s="2">
        <v>114.5</v>
      </c>
      <c r="T41" s="2">
        <v>116.7</v>
      </c>
      <c r="U41" s="2" t="s">
        <v>32</v>
      </c>
      <c r="V41" s="2">
        <v>113.2</v>
      </c>
      <c r="W41" s="2">
        <v>112.9</v>
      </c>
      <c r="X41" s="2">
        <v>110.9</v>
      </c>
      <c r="Y41" s="2">
        <v>110.8</v>
      </c>
      <c r="Z41" s="2">
        <v>109.9</v>
      </c>
      <c r="AA41" s="2">
        <v>112</v>
      </c>
      <c r="AB41" s="2">
        <v>108.7</v>
      </c>
      <c r="AC41" s="2">
        <v>110.9</v>
      </c>
      <c r="AD41" s="2">
        <v>114</v>
      </c>
    </row>
    <row r="42" spans="1:30" ht="14.4" x14ac:dyDescent="0.3">
      <c r="A42" s="2" t="s">
        <v>33</v>
      </c>
      <c r="B42" s="2">
        <v>2014</v>
      </c>
      <c r="C42" s="2" t="s">
        <v>35</v>
      </c>
      <c r="D42" s="2">
        <v>121.9</v>
      </c>
      <c r="E42" s="2">
        <v>122</v>
      </c>
      <c r="F42" s="2">
        <v>124.5</v>
      </c>
      <c r="G42" s="2">
        <v>115.2</v>
      </c>
      <c r="H42" s="2">
        <v>102.5</v>
      </c>
      <c r="I42" s="2">
        <v>114.1</v>
      </c>
      <c r="J42" s="2">
        <v>111.5</v>
      </c>
      <c r="K42" s="2">
        <v>108.2</v>
      </c>
      <c r="L42" s="2">
        <v>95.4</v>
      </c>
      <c r="M42" s="2">
        <v>113.5</v>
      </c>
      <c r="N42" s="2">
        <v>112.1</v>
      </c>
      <c r="O42" s="2">
        <v>119.9</v>
      </c>
      <c r="P42" s="2">
        <v>115.2</v>
      </c>
      <c r="Q42" s="2">
        <v>116.2</v>
      </c>
      <c r="R42" s="2">
        <v>115.3</v>
      </c>
      <c r="S42" s="2">
        <v>111.7</v>
      </c>
      <c r="T42" s="2">
        <v>114.7</v>
      </c>
      <c r="U42" s="2">
        <v>112.5</v>
      </c>
      <c r="V42" s="2">
        <v>111.1</v>
      </c>
      <c r="W42" s="2">
        <v>112.6</v>
      </c>
      <c r="X42" s="2">
        <v>110.4</v>
      </c>
      <c r="Y42" s="2">
        <v>111.3</v>
      </c>
      <c r="Z42" s="2">
        <v>110.3</v>
      </c>
      <c r="AA42" s="2">
        <v>111.6</v>
      </c>
      <c r="AB42" s="2">
        <v>108.7</v>
      </c>
      <c r="AC42" s="2">
        <v>111</v>
      </c>
      <c r="AD42" s="2">
        <v>113.1</v>
      </c>
    </row>
    <row r="43" spans="1:30" ht="14.4" x14ac:dyDescent="0.3">
      <c r="A43" s="2" t="s">
        <v>34</v>
      </c>
      <c r="B43" s="2">
        <v>2014</v>
      </c>
      <c r="C43" s="2" t="s">
        <v>35</v>
      </c>
      <c r="D43" s="2">
        <v>120.2</v>
      </c>
      <c r="E43" s="2">
        <v>119.2</v>
      </c>
      <c r="F43" s="2">
        <v>122.5</v>
      </c>
      <c r="G43" s="2">
        <v>115.1</v>
      </c>
      <c r="H43" s="2">
        <v>106.6</v>
      </c>
      <c r="I43" s="2">
        <v>115.4</v>
      </c>
      <c r="J43" s="2">
        <v>114.5</v>
      </c>
      <c r="K43" s="2">
        <v>109.3</v>
      </c>
      <c r="L43" s="2">
        <v>99.2</v>
      </c>
      <c r="M43" s="2">
        <v>111.4</v>
      </c>
      <c r="N43" s="2">
        <v>112.6</v>
      </c>
      <c r="O43" s="2">
        <v>118.8</v>
      </c>
      <c r="P43" s="2">
        <v>115.3</v>
      </c>
      <c r="Q43" s="2">
        <v>114.7</v>
      </c>
      <c r="R43" s="2">
        <v>116.4</v>
      </c>
      <c r="S43" s="2">
        <v>113.3</v>
      </c>
      <c r="T43" s="2">
        <v>115.9</v>
      </c>
      <c r="U43" s="2">
        <v>112.5</v>
      </c>
      <c r="V43" s="2">
        <v>112.4</v>
      </c>
      <c r="W43" s="2">
        <v>112.8</v>
      </c>
      <c r="X43" s="2">
        <v>110.7</v>
      </c>
      <c r="Y43" s="2">
        <v>111.1</v>
      </c>
      <c r="Z43" s="2">
        <v>110.1</v>
      </c>
      <c r="AA43" s="2">
        <v>111.8</v>
      </c>
      <c r="AB43" s="2">
        <v>108.7</v>
      </c>
      <c r="AC43" s="2">
        <v>110.9</v>
      </c>
      <c r="AD43" s="2">
        <v>113.6</v>
      </c>
    </row>
    <row r="44" spans="1:30" ht="14.4" x14ac:dyDescent="0.3">
      <c r="A44" s="2" t="s">
        <v>30</v>
      </c>
      <c r="B44" s="2">
        <v>2014</v>
      </c>
      <c r="C44" s="2" t="s">
        <v>36</v>
      </c>
      <c r="D44" s="2">
        <v>120.1</v>
      </c>
      <c r="E44" s="2">
        <v>118.1</v>
      </c>
      <c r="F44" s="2">
        <v>120.7</v>
      </c>
      <c r="G44" s="2">
        <v>116.1</v>
      </c>
      <c r="H44" s="2">
        <v>109.3</v>
      </c>
      <c r="I44" s="2">
        <v>119.6</v>
      </c>
      <c r="J44" s="2">
        <v>117.9</v>
      </c>
      <c r="K44" s="2">
        <v>110.2</v>
      </c>
      <c r="L44" s="2">
        <v>101.2</v>
      </c>
      <c r="M44" s="2">
        <v>110.7</v>
      </c>
      <c r="N44" s="2">
        <v>113</v>
      </c>
      <c r="O44" s="2">
        <v>118.3</v>
      </c>
      <c r="P44" s="2">
        <v>116.2</v>
      </c>
      <c r="Q44" s="2">
        <v>114.6</v>
      </c>
      <c r="R44" s="2">
        <v>117.5</v>
      </c>
      <c r="S44" s="2">
        <v>114.9</v>
      </c>
      <c r="T44" s="2">
        <v>117.2</v>
      </c>
      <c r="U44" s="2" t="s">
        <v>32</v>
      </c>
      <c r="V44" s="2">
        <v>113.4</v>
      </c>
      <c r="W44" s="2">
        <v>113.4</v>
      </c>
      <c r="X44" s="2">
        <v>111.4</v>
      </c>
      <c r="Y44" s="2">
        <v>111.2</v>
      </c>
      <c r="Z44" s="2">
        <v>110.2</v>
      </c>
      <c r="AA44" s="2">
        <v>112.4</v>
      </c>
      <c r="AB44" s="2">
        <v>108.9</v>
      </c>
      <c r="AC44" s="2">
        <v>111.3</v>
      </c>
      <c r="AD44" s="2">
        <v>114.6</v>
      </c>
    </row>
    <row r="45" spans="1:30" ht="14.4" x14ac:dyDescent="0.3">
      <c r="A45" s="2" t="s">
        <v>33</v>
      </c>
      <c r="B45" s="2">
        <v>2014</v>
      </c>
      <c r="C45" s="2" t="s">
        <v>36</v>
      </c>
      <c r="D45" s="2">
        <v>122.1</v>
      </c>
      <c r="E45" s="2">
        <v>121.4</v>
      </c>
      <c r="F45" s="2">
        <v>121.5</v>
      </c>
      <c r="G45" s="2">
        <v>116.2</v>
      </c>
      <c r="H45" s="2">
        <v>102.8</v>
      </c>
      <c r="I45" s="2">
        <v>117.7</v>
      </c>
      <c r="J45" s="2">
        <v>113.3</v>
      </c>
      <c r="K45" s="2">
        <v>108.9</v>
      </c>
      <c r="L45" s="2">
        <v>96.3</v>
      </c>
      <c r="M45" s="2">
        <v>114.1</v>
      </c>
      <c r="N45" s="2">
        <v>112.2</v>
      </c>
      <c r="O45" s="2">
        <v>120.5</v>
      </c>
      <c r="P45" s="2">
        <v>116</v>
      </c>
      <c r="Q45" s="2">
        <v>116.7</v>
      </c>
      <c r="R45" s="2">
        <v>115.8</v>
      </c>
      <c r="S45" s="2">
        <v>112.1</v>
      </c>
      <c r="T45" s="2">
        <v>115.2</v>
      </c>
      <c r="U45" s="2">
        <v>113.2</v>
      </c>
      <c r="V45" s="2">
        <v>110.9</v>
      </c>
      <c r="W45" s="2">
        <v>113</v>
      </c>
      <c r="X45" s="2">
        <v>110.8</v>
      </c>
      <c r="Y45" s="2">
        <v>111.6</v>
      </c>
      <c r="Z45" s="2">
        <v>110.9</v>
      </c>
      <c r="AA45" s="2">
        <v>111.8</v>
      </c>
      <c r="AB45" s="2">
        <v>109.2</v>
      </c>
      <c r="AC45" s="2">
        <v>111.4</v>
      </c>
      <c r="AD45" s="2">
        <v>113.7</v>
      </c>
    </row>
    <row r="46" spans="1:30" ht="14.4" x14ac:dyDescent="0.3">
      <c r="A46" s="2" t="s">
        <v>34</v>
      </c>
      <c r="B46" s="2">
        <v>2014</v>
      </c>
      <c r="C46" s="2" t="s">
        <v>46</v>
      </c>
      <c r="D46" s="2">
        <v>120.7</v>
      </c>
      <c r="E46" s="2">
        <v>119.3</v>
      </c>
      <c r="F46" s="2">
        <v>121</v>
      </c>
      <c r="G46" s="2">
        <v>116.1</v>
      </c>
      <c r="H46" s="2">
        <v>106.9</v>
      </c>
      <c r="I46" s="2">
        <v>118.7</v>
      </c>
      <c r="J46" s="2">
        <v>116.3</v>
      </c>
      <c r="K46" s="2">
        <v>109.8</v>
      </c>
      <c r="L46" s="2">
        <v>99.6</v>
      </c>
      <c r="M46" s="2">
        <v>111.8</v>
      </c>
      <c r="N46" s="2">
        <v>112.7</v>
      </c>
      <c r="O46" s="2">
        <v>119.3</v>
      </c>
      <c r="P46" s="2">
        <v>116.1</v>
      </c>
      <c r="Q46" s="2">
        <v>115.2</v>
      </c>
      <c r="R46" s="2">
        <v>116.8</v>
      </c>
      <c r="S46" s="2">
        <v>113.7</v>
      </c>
      <c r="T46" s="2">
        <v>116.4</v>
      </c>
      <c r="U46" s="2">
        <v>113.2</v>
      </c>
      <c r="V46" s="2">
        <v>112.5</v>
      </c>
      <c r="W46" s="2">
        <v>113.2</v>
      </c>
      <c r="X46" s="2">
        <v>111.2</v>
      </c>
      <c r="Y46" s="2">
        <v>111.4</v>
      </c>
      <c r="Z46" s="2">
        <v>110.6</v>
      </c>
      <c r="AA46" s="2">
        <v>112</v>
      </c>
      <c r="AB46" s="2">
        <v>109</v>
      </c>
      <c r="AC46" s="2">
        <v>111.3</v>
      </c>
      <c r="AD46" s="2">
        <v>114.2</v>
      </c>
    </row>
    <row r="47" spans="1:30" ht="14.4" x14ac:dyDescent="0.3">
      <c r="A47" s="2" t="s">
        <v>30</v>
      </c>
      <c r="B47" s="2">
        <v>2014</v>
      </c>
      <c r="C47" s="2" t="s">
        <v>37</v>
      </c>
      <c r="D47" s="2">
        <v>120.2</v>
      </c>
      <c r="E47" s="2">
        <v>118.9</v>
      </c>
      <c r="F47" s="2">
        <v>118.1</v>
      </c>
      <c r="G47" s="2">
        <v>117</v>
      </c>
      <c r="H47" s="2">
        <v>109.7</v>
      </c>
      <c r="I47" s="2">
        <v>125.5</v>
      </c>
      <c r="J47" s="2">
        <v>120.5</v>
      </c>
      <c r="K47" s="2">
        <v>111</v>
      </c>
      <c r="L47" s="2">
        <v>102.6</v>
      </c>
      <c r="M47" s="2">
        <v>111.2</v>
      </c>
      <c r="N47" s="2">
        <v>113.5</v>
      </c>
      <c r="O47" s="2">
        <v>118.7</v>
      </c>
      <c r="P47" s="2">
        <v>117.2</v>
      </c>
      <c r="Q47" s="2">
        <v>115.4</v>
      </c>
      <c r="R47" s="2">
        <v>118.1</v>
      </c>
      <c r="S47" s="2">
        <v>116.1</v>
      </c>
      <c r="T47" s="2">
        <v>117.8</v>
      </c>
      <c r="U47" s="2" t="s">
        <v>32</v>
      </c>
      <c r="V47" s="2">
        <v>113.4</v>
      </c>
      <c r="W47" s="2">
        <v>113.7</v>
      </c>
      <c r="X47" s="2">
        <v>111.8</v>
      </c>
      <c r="Y47" s="2">
        <v>111.2</v>
      </c>
      <c r="Z47" s="2">
        <v>110.5</v>
      </c>
      <c r="AA47" s="2">
        <v>113</v>
      </c>
      <c r="AB47" s="2">
        <v>108.9</v>
      </c>
      <c r="AC47" s="2">
        <v>111.5</v>
      </c>
      <c r="AD47" s="2">
        <v>115.4</v>
      </c>
    </row>
    <row r="48" spans="1:30" ht="14.4" x14ac:dyDescent="0.3">
      <c r="A48" s="2" t="s">
        <v>33</v>
      </c>
      <c r="B48" s="2">
        <v>2014</v>
      </c>
      <c r="C48" s="2" t="s">
        <v>37</v>
      </c>
      <c r="D48" s="2">
        <v>122.5</v>
      </c>
      <c r="E48" s="2">
        <v>121.7</v>
      </c>
      <c r="F48" s="2">
        <v>113.3</v>
      </c>
      <c r="G48" s="2">
        <v>117</v>
      </c>
      <c r="H48" s="2">
        <v>103.1</v>
      </c>
      <c r="I48" s="2">
        <v>126.7</v>
      </c>
      <c r="J48" s="2">
        <v>121.2</v>
      </c>
      <c r="K48" s="2">
        <v>111</v>
      </c>
      <c r="L48" s="2">
        <v>100.3</v>
      </c>
      <c r="M48" s="2">
        <v>115.3</v>
      </c>
      <c r="N48" s="2">
        <v>112.7</v>
      </c>
      <c r="O48" s="2">
        <v>121</v>
      </c>
      <c r="P48" s="2">
        <v>118.2</v>
      </c>
      <c r="Q48" s="2">
        <v>117.6</v>
      </c>
      <c r="R48" s="2">
        <v>116.3</v>
      </c>
      <c r="S48" s="2">
        <v>112.5</v>
      </c>
      <c r="T48" s="2">
        <v>115.7</v>
      </c>
      <c r="U48" s="2">
        <v>113.9</v>
      </c>
      <c r="V48" s="2">
        <v>110.9</v>
      </c>
      <c r="W48" s="2">
        <v>113.4</v>
      </c>
      <c r="X48" s="2">
        <v>111</v>
      </c>
      <c r="Y48" s="2">
        <v>111.2</v>
      </c>
      <c r="Z48" s="2">
        <v>111.2</v>
      </c>
      <c r="AA48" s="2">
        <v>112.5</v>
      </c>
      <c r="AB48" s="2">
        <v>109.1</v>
      </c>
      <c r="AC48" s="2">
        <v>111.4</v>
      </c>
      <c r="AD48" s="2">
        <v>114.7</v>
      </c>
    </row>
    <row r="49" spans="1:30" ht="14.4" x14ac:dyDescent="0.3">
      <c r="A49" s="2" t="s">
        <v>34</v>
      </c>
      <c r="B49" s="2">
        <v>2014</v>
      </c>
      <c r="C49" s="2" t="s">
        <v>37</v>
      </c>
      <c r="D49" s="2">
        <v>120.9</v>
      </c>
      <c r="E49" s="2">
        <v>119.9</v>
      </c>
      <c r="F49" s="2">
        <v>116.2</v>
      </c>
      <c r="G49" s="2">
        <v>117</v>
      </c>
      <c r="H49" s="2">
        <v>107.3</v>
      </c>
      <c r="I49" s="2">
        <v>126.1</v>
      </c>
      <c r="J49" s="2">
        <v>120.7</v>
      </c>
      <c r="K49" s="2">
        <v>111</v>
      </c>
      <c r="L49" s="2">
        <v>101.8</v>
      </c>
      <c r="M49" s="2">
        <v>112.6</v>
      </c>
      <c r="N49" s="2">
        <v>113.2</v>
      </c>
      <c r="O49" s="2">
        <v>119.8</v>
      </c>
      <c r="P49" s="2">
        <v>117.6</v>
      </c>
      <c r="Q49" s="2">
        <v>116</v>
      </c>
      <c r="R49" s="2">
        <v>117.4</v>
      </c>
      <c r="S49" s="2">
        <v>114.6</v>
      </c>
      <c r="T49" s="2">
        <v>117</v>
      </c>
      <c r="U49" s="2">
        <v>113.9</v>
      </c>
      <c r="V49" s="2">
        <v>112.5</v>
      </c>
      <c r="W49" s="2">
        <v>113.6</v>
      </c>
      <c r="X49" s="2">
        <v>111.5</v>
      </c>
      <c r="Y49" s="2">
        <v>111.2</v>
      </c>
      <c r="Z49" s="2">
        <v>110.9</v>
      </c>
      <c r="AA49" s="2">
        <v>112.7</v>
      </c>
      <c r="AB49" s="2">
        <v>109</v>
      </c>
      <c r="AC49" s="2">
        <v>111.5</v>
      </c>
      <c r="AD49" s="2">
        <v>115.1</v>
      </c>
    </row>
    <row r="50" spans="1:30" ht="14.4" x14ac:dyDescent="0.3">
      <c r="A50" s="2" t="s">
        <v>30</v>
      </c>
      <c r="B50" s="2">
        <v>2014</v>
      </c>
      <c r="C50" s="2" t="s">
        <v>38</v>
      </c>
      <c r="D50" s="2">
        <v>120.3</v>
      </c>
      <c r="E50" s="2">
        <v>120.2</v>
      </c>
      <c r="F50" s="2">
        <v>116.9</v>
      </c>
      <c r="G50" s="2">
        <v>118</v>
      </c>
      <c r="H50" s="2">
        <v>110.1</v>
      </c>
      <c r="I50" s="2">
        <v>126.3</v>
      </c>
      <c r="J50" s="2">
        <v>123.9</v>
      </c>
      <c r="K50" s="2">
        <v>111.5</v>
      </c>
      <c r="L50" s="2">
        <v>103.5</v>
      </c>
      <c r="M50" s="2">
        <v>111.6</v>
      </c>
      <c r="N50" s="2">
        <v>114.2</v>
      </c>
      <c r="O50" s="2">
        <v>119.2</v>
      </c>
      <c r="P50" s="2">
        <v>118.2</v>
      </c>
      <c r="Q50" s="2">
        <v>116.3</v>
      </c>
      <c r="R50" s="2">
        <v>118.7</v>
      </c>
      <c r="S50" s="2">
        <v>116.8</v>
      </c>
      <c r="T50" s="2">
        <v>118.5</v>
      </c>
      <c r="U50" s="2" t="s">
        <v>32</v>
      </c>
      <c r="V50" s="2">
        <v>113.4</v>
      </c>
      <c r="W50" s="2">
        <v>114.1</v>
      </c>
      <c r="X50" s="2">
        <v>112.1</v>
      </c>
      <c r="Y50" s="2">
        <v>111.4</v>
      </c>
      <c r="Z50" s="2">
        <v>110.9</v>
      </c>
      <c r="AA50" s="2">
        <v>113.1</v>
      </c>
      <c r="AB50" s="2">
        <v>108.9</v>
      </c>
      <c r="AC50" s="2">
        <v>111.8</v>
      </c>
      <c r="AD50" s="2">
        <v>116</v>
      </c>
    </row>
    <row r="51" spans="1:30" ht="14.4" x14ac:dyDescent="0.3">
      <c r="A51" s="2" t="s">
        <v>33</v>
      </c>
      <c r="B51" s="2">
        <v>2014</v>
      </c>
      <c r="C51" s="2" t="s">
        <v>38</v>
      </c>
      <c r="D51" s="2">
        <v>122.7</v>
      </c>
      <c r="E51" s="2">
        <v>124.1</v>
      </c>
      <c r="F51" s="2">
        <v>114.2</v>
      </c>
      <c r="G51" s="2">
        <v>119.1</v>
      </c>
      <c r="H51" s="2">
        <v>103.5</v>
      </c>
      <c r="I51" s="2">
        <v>129.19999999999999</v>
      </c>
      <c r="J51" s="2">
        <v>127</v>
      </c>
      <c r="K51" s="2">
        <v>112.6</v>
      </c>
      <c r="L51" s="2">
        <v>101.3</v>
      </c>
      <c r="M51" s="2">
        <v>117</v>
      </c>
      <c r="N51" s="2">
        <v>112.9</v>
      </c>
      <c r="O51" s="2">
        <v>121.7</v>
      </c>
      <c r="P51" s="2">
        <v>120</v>
      </c>
      <c r="Q51" s="2">
        <v>118.3</v>
      </c>
      <c r="R51" s="2">
        <v>116.8</v>
      </c>
      <c r="S51" s="2">
        <v>112.9</v>
      </c>
      <c r="T51" s="2">
        <v>116.2</v>
      </c>
      <c r="U51" s="2">
        <v>114.3</v>
      </c>
      <c r="V51" s="2">
        <v>111.1</v>
      </c>
      <c r="W51" s="2">
        <v>114.1</v>
      </c>
      <c r="X51" s="2">
        <v>111.2</v>
      </c>
      <c r="Y51" s="2">
        <v>111.3</v>
      </c>
      <c r="Z51" s="2">
        <v>111.5</v>
      </c>
      <c r="AA51" s="2">
        <v>112.9</v>
      </c>
      <c r="AB51" s="2">
        <v>109.3</v>
      </c>
      <c r="AC51" s="2">
        <v>111.7</v>
      </c>
      <c r="AD51" s="2">
        <v>115.6</v>
      </c>
    </row>
    <row r="52" spans="1:30" ht="14.4" x14ac:dyDescent="0.3">
      <c r="A52" s="2" t="s">
        <v>34</v>
      </c>
      <c r="B52" s="2">
        <v>2014</v>
      </c>
      <c r="C52" s="2" t="s">
        <v>38</v>
      </c>
      <c r="D52" s="2">
        <v>121.1</v>
      </c>
      <c r="E52" s="2">
        <v>121.6</v>
      </c>
      <c r="F52" s="2">
        <v>115.9</v>
      </c>
      <c r="G52" s="2">
        <v>118.4</v>
      </c>
      <c r="H52" s="2">
        <v>107.7</v>
      </c>
      <c r="I52" s="2">
        <v>127.7</v>
      </c>
      <c r="J52" s="2">
        <v>125</v>
      </c>
      <c r="K52" s="2">
        <v>111.9</v>
      </c>
      <c r="L52" s="2">
        <v>102.8</v>
      </c>
      <c r="M52" s="2">
        <v>113.4</v>
      </c>
      <c r="N52" s="2">
        <v>113.7</v>
      </c>
      <c r="O52" s="2">
        <v>120.4</v>
      </c>
      <c r="P52" s="2">
        <v>118.9</v>
      </c>
      <c r="Q52" s="2">
        <v>116.8</v>
      </c>
      <c r="R52" s="2">
        <v>118</v>
      </c>
      <c r="S52" s="2">
        <v>115.2</v>
      </c>
      <c r="T52" s="2">
        <v>117.6</v>
      </c>
      <c r="U52" s="2">
        <v>114.3</v>
      </c>
      <c r="V52" s="2">
        <v>112.5</v>
      </c>
      <c r="W52" s="2">
        <v>114.1</v>
      </c>
      <c r="X52" s="2">
        <v>111.8</v>
      </c>
      <c r="Y52" s="2">
        <v>111.3</v>
      </c>
      <c r="Z52" s="2">
        <v>111.2</v>
      </c>
      <c r="AA52" s="2">
        <v>113</v>
      </c>
      <c r="AB52" s="2">
        <v>109.1</v>
      </c>
      <c r="AC52" s="2">
        <v>111.8</v>
      </c>
      <c r="AD52" s="2">
        <v>115.8</v>
      </c>
    </row>
    <row r="53" spans="1:30" ht="14.4" x14ac:dyDescent="0.3">
      <c r="A53" s="2" t="s">
        <v>30</v>
      </c>
      <c r="B53" s="2">
        <v>2014</v>
      </c>
      <c r="C53" s="2" t="s">
        <v>39</v>
      </c>
      <c r="D53" s="2">
        <v>120.7</v>
      </c>
      <c r="E53" s="2">
        <v>121.6</v>
      </c>
      <c r="F53" s="2">
        <v>116.1</v>
      </c>
      <c r="G53" s="2">
        <v>119.3</v>
      </c>
      <c r="H53" s="2">
        <v>110.3</v>
      </c>
      <c r="I53" s="2">
        <v>125.8</v>
      </c>
      <c r="J53" s="2">
        <v>129.30000000000001</v>
      </c>
      <c r="K53" s="2">
        <v>112.2</v>
      </c>
      <c r="L53" s="2">
        <v>103.6</v>
      </c>
      <c r="M53" s="2">
        <v>112.3</v>
      </c>
      <c r="N53" s="2">
        <v>114.9</v>
      </c>
      <c r="O53" s="2">
        <v>120.1</v>
      </c>
      <c r="P53" s="2">
        <v>119.5</v>
      </c>
      <c r="Q53" s="2">
        <v>117.3</v>
      </c>
      <c r="R53" s="2">
        <v>119.7</v>
      </c>
      <c r="S53" s="2">
        <v>117.3</v>
      </c>
      <c r="T53" s="2">
        <v>119.3</v>
      </c>
      <c r="U53" s="2" t="s">
        <v>32</v>
      </c>
      <c r="V53" s="2">
        <v>114.4</v>
      </c>
      <c r="W53" s="2">
        <v>114.9</v>
      </c>
      <c r="X53" s="2">
        <v>112.8</v>
      </c>
      <c r="Y53" s="2">
        <v>112.2</v>
      </c>
      <c r="Z53" s="2">
        <v>111.4</v>
      </c>
      <c r="AA53" s="2">
        <v>114.3</v>
      </c>
      <c r="AB53" s="2">
        <v>108</v>
      </c>
      <c r="AC53" s="2">
        <v>112.3</v>
      </c>
      <c r="AD53" s="2">
        <v>117</v>
      </c>
    </row>
    <row r="54" spans="1:30" ht="14.4" x14ac:dyDescent="0.3">
      <c r="A54" s="2" t="s">
        <v>33</v>
      </c>
      <c r="B54" s="2">
        <v>2014</v>
      </c>
      <c r="C54" s="2" t="s">
        <v>39</v>
      </c>
      <c r="D54" s="2">
        <v>123.1</v>
      </c>
      <c r="E54" s="2">
        <v>125.9</v>
      </c>
      <c r="F54" s="2">
        <v>115.4</v>
      </c>
      <c r="G54" s="2">
        <v>120.4</v>
      </c>
      <c r="H54" s="2">
        <v>103.4</v>
      </c>
      <c r="I54" s="2">
        <v>131.19999999999999</v>
      </c>
      <c r="J54" s="2">
        <v>137.5</v>
      </c>
      <c r="K54" s="2">
        <v>112.8</v>
      </c>
      <c r="L54" s="2">
        <v>101.4</v>
      </c>
      <c r="M54" s="2">
        <v>118.3</v>
      </c>
      <c r="N54" s="2">
        <v>113.2</v>
      </c>
      <c r="O54" s="2">
        <v>122.4</v>
      </c>
      <c r="P54" s="2">
        <v>122</v>
      </c>
      <c r="Q54" s="2">
        <v>119</v>
      </c>
      <c r="R54" s="2">
        <v>117.4</v>
      </c>
      <c r="S54" s="2">
        <v>113.2</v>
      </c>
      <c r="T54" s="2">
        <v>116.7</v>
      </c>
      <c r="U54" s="2">
        <v>113.9</v>
      </c>
      <c r="V54" s="2">
        <v>111.2</v>
      </c>
      <c r="W54" s="2">
        <v>114.3</v>
      </c>
      <c r="X54" s="2">
        <v>111.4</v>
      </c>
      <c r="Y54" s="2">
        <v>111.5</v>
      </c>
      <c r="Z54" s="2">
        <v>111.8</v>
      </c>
      <c r="AA54" s="2">
        <v>115.1</v>
      </c>
      <c r="AB54" s="2">
        <v>108.7</v>
      </c>
      <c r="AC54" s="2">
        <v>112.2</v>
      </c>
      <c r="AD54" s="2">
        <v>116.4</v>
      </c>
    </row>
    <row r="55" spans="1:30" ht="14.4" x14ac:dyDescent="0.3">
      <c r="A55" s="2" t="s">
        <v>34</v>
      </c>
      <c r="B55" s="2">
        <v>2014</v>
      </c>
      <c r="C55" s="2" t="s">
        <v>39</v>
      </c>
      <c r="D55" s="2">
        <v>121.5</v>
      </c>
      <c r="E55" s="2">
        <v>123.1</v>
      </c>
      <c r="F55" s="2">
        <v>115.8</v>
      </c>
      <c r="G55" s="2">
        <v>119.7</v>
      </c>
      <c r="H55" s="2">
        <v>107.8</v>
      </c>
      <c r="I55" s="2">
        <v>128.30000000000001</v>
      </c>
      <c r="J55" s="2">
        <v>132.1</v>
      </c>
      <c r="K55" s="2">
        <v>112.4</v>
      </c>
      <c r="L55" s="2">
        <v>102.9</v>
      </c>
      <c r="M55" s="2">
        <v>114.3</v>
      </c>
      <c r="N55" s="2">
        <v>114.2</v>
      </c>
      <c r="O55" s="2">
        <v>121.2</v>
      </c>
      <c r="P55" s="2">
        <v>120.4</v>
      </c>
      <c r="Q55" s="2">
        <v>117.8</v>
      </c>
      <c r="R55" s="2">
        <v>118.8</v>
      </c>
      <c r="S55" s="2">
        <v>115.6</v>
      </c>
      <c r="T55" s="2">
        <v>118.3</v>
      </c>
      <c r="U55" s="2">
        <v>113.9</v>
      </c>
      <c r="V55" s="2">
        <v>113.2</v>
      </c>
      <c r="W55" s="2">
        <v>114.6</v>
      </c>
      <c r="X55" s="2">
        <v>112.3</v>
      </c>
      <c r="Y55" s="2">
        <v>111.8</v>
      </c>
      <c r="Z55" s="2">
        <v>111.6</v>
      </c>
      <c r="AA55" s="2">
        <v>114.8</v>
      </c>
      <c r="AB55" s="2">
        <v>108.3</v>
      </c>
      <c r="AC55" s="2">
        <v>112.3</v>
      </c>
      <c r="AD55" s="2">
        <v>116.7</v>
      </c>
    </row>
    <row r="56" spans="1:30" ht="14.4" x14ac:dyDescent="0.3">
      <c r="A56" s="2" t="s">
        <v>30</v>
      </c>
      <c r="B56" s="2">
        <v>2014</v>
      </c>
      <c r="C56" s="2" t="s">
        <v>40</v>
      </c>
      <c r="D56" s="2">
        <v>121.7</v>
      </c>
      <c r="E56" s="2">
        <v>122.5</v>
      </c>
      <c r="F56" s="2">
        <v>117.7</v>
      </c>
      <c r="G56" s="2">
        <v>120.6</v>
      </c>
      <c r="H56" s="2">
        <v>110.4</v>
      </c>
      <c r="I56" s="2">
        <v>129.1</v>
      </c>
      <c r="J56" s="2">
        <v>150.1</v>
      </c>
      <c r="K56" s="2">
        <v>113.2</v>
      </c>
      <c r="L56" s="2">
        <v>104.8</v>
      </c>
      <c r="M56" s="2">
        <v>113.3</v>
      </c>
      <c r="N56" s="2">
        <v>115.6</v>
      </c>
      <c r="O56" s="2">
        <v>120.9</v>
      </c>
      <c r="P56" s="2">
        <v>123.3</v>
      </c>
      <c r="Q56" s="2">
        <v>118</v>
      </c>
      <c r="R56" s="2">
        <v>120.7</v>
      </c>
      <c r="S56" s="2">
        <v>118.3</v>
      </c>
      <c r="T56" s="2">
        <v>120.3</v>
      </c>
      <c r="U56" s="2" t="s">
        <v>32</v>
      </c>
      <c r="V56" s="2">
        <v>115.3</v>
      </c>
      <c r="W56" s="2">
        <v>115.4</v>
      </c>
      <c r="X56" s="2">
        <v>113.4</v>
      </c>
      <c r="Y56" s="2">
        <v>113.2</v>
      </c>
      <c r="Z56" s="2">
        <v>111.8</v>
      </c>
      <c r="AA56" s="2">
        <v>115.5</v>
      </c>
      <c r="AB56" s="2">
        <v>108.8</v>
      </c>
      <c r="AC56" s="2">
        <v>113.1</v>
      </c>
      <c r="AD56" s="2">
        <v>119.5</v>
      </c>
    </row>
    <row r="57" spans="1:30" ht="14.4" x14ac:dyDescent="0.3">
      <c r="A57" s="2" t="s">
        <v>33</v>
      </c>
      <c r="B57" s="2">
        <v>2014</v>
      </c>
      <c r="C57" s="2" t="s">
        <v>40</v>
      </c>
      <c r="D57" s="2">
        <v>123.8</v>
      </c>
      <c r="E57" s="2">
        <v>126.4</v>
      </c>
      <c r="F57" s="2">
        <v>118</v>
      </c>
      <c r="G57" s="2">
        <v>121.6</v>
      </c>
      <c r="H57" s="2">
        <v>103.5</v>
      </c>
      <c r="I57" s="2">
        <v>133.69999999999999</v>
      </c>
      <c r="J57" s="2">
        <v>172.4</v>
      </c>
      <c r="K57" s="2">
        <v>113.1</v>
      </c>
      <c r="L57" s="2">
        <v>102.7</v>
      </c>
      <c r="M57" s="2">
        <v>120</v>
      </c>
      <c r="N57" s="2">
        <v>113.8</v>
      </c>
      <c r="O57" s="2">
        <v>123.4</v>
      </c>
      <c r="P57" s="2">
        <v>127.1</v>
      </c>
      <c r="Q57" s="2">
        <v>121</v>
      </c>
      <c r="R57" s="2">
        <v>118</v>
      </c>
      <c r="S57" s="2">
        <v>113.6</v>
      </c>
      <c r="T57" s="2">
        <v>117.4</v>
      </c>
      <c r="U57" s="2">
        <v>114.8</v>
      </c>
      <c r="V57" s="2">
        <v>111.6</v>
      </c>
      <c r="W57" s="2">
        <v>114.9</v>
      </c>
      <c r="X57" s="2">
        <v>111.5</v>
      </c>
      <c r="Y57" s="2">
        <v>113</v>
      </c>
      <c r="Z57" s="2">
        <v>112.4</v>
      </c>
      <c r="AA57" s="2">
        <v>117.8</v>
      </c>
      <c r="AB57" s="2">
        <v>109.7</v>
      </c>
      <c r="AC57" s="2">
        <v>113.5</v>
      </c>
      <c r="AD57" s="2">
        <v>118.9</v>
      </c>
    </row>
    <row r="58" spans="1:30" ht="14.4" x14ac:dyDescent="0.3">
      <c r="A58" s="2" t="s">
        <v>34</v>
      </c>
      <c r="B58" s="2">
        <v>2014</v>
      </c>
      <c r="C58" s="2" t="s">
        <v>40</v>
      </c>
      <c r="D58" s="2">
        <v>122.4</v>
      </c>
      <c r="E58" s="2">
        <v>123.9</v>
      </c>
      <c r="F58" s="2">
        <v>117.8</v>
      </c>
      <c r="G58" s="2">
        <v>121</v>
      </c>
      <c r="H58" s="2">
        <v>107.9</v>
      </c>
      <c r="I58" s="2">
        <v>131.19999999999999</v>
      </c>
      <c r="J58" s="2">
        <v>157.69999999999999</v>
      </c>
      <c r="K58" s="2">
        <v>113.2</v>
      </c>
      <c r="L58" s="2">
        <v>104.1</v>
      </c>
      <c r="M58" s="2">
        <v>115.5</v>
      </c>
      <c r="N58" s="2">
        <v>114.8</v>
      </c>
      <c r="O58" s="2">
        <v>122.1</v>
      </c>
      <c r="P58" s="2">
        <v>124.7</v>
      </c>
      <c r="Q58" s="2">
        <v>118.8</v>
      </c>
      <c r="R58" s="2">
        <v>119.6</v>
      </c>
      <c r="S58" s="2">
        <v>116.3</v>
      </c>
      <c r="T58" s="2">
        <v>119.1</v>
      </c>
      <c r="U58" s="2">
        <v>114.8</v>
      </c>
      <c r="V58" s="2">
        <v>113.9</v>
      </c>
      <c r="W58" s="2">
        <v>115.2</v>
      </c>
      <c r="X58" s="2">
        <v>112.7</v>
      </c>
      <c r="Y58" s="2">
        <v>113.1</v>
      </c>
      <c r="Z58" s="2">
        <v>112.1</v>
      </c>
      <c r="AA58" s="2">
        <v>116.8</v>
      </c>
      <c r="AB58" s="2">
        <v>109.2</v>
      </c>
      <c r="AC58" s="2">
        <v>113.3</v>
      </c>
      <c r="AD58" s="2">
        <v>119.2</v>
      </c>
    </row>
    <row r="59" spans="1:30" ht="14.4" x14ac:dyDescent="0.3">
      <c r="A59" s="2" t="s">
        <v>30</v>
      </c>
      <c r="B59" s="2">
        <v>2014</v>
      </c>
      <c r="C59" s="2" t="s">
        <v>41</v>
      </c>
      <c r="D59" s="2">
        <v>121.8</v>
      </c>
      <c r="E59" s="2">
        <v>122.8</v>
      </c>
      <c r="F59" s="2">
        <v>117.8</v>
      </c>
      <c r="G59" s="2">
        <v>121.9</v>
      </c>
      <c r="H59" s="2">
        <v>110.6</v>
      </c>
      <c r="I59" s="2">
        <v>129.69999999999999</v>
      </c>
      <c r="J59" s="2">
        <v>161.1</v>
      </c>
      <c r="K59" s="2">
        <v>114.1</v>
      </c>
      <c r="L59" s="2">
        <v>105.1</v>
      </c>
      <c r="M59" s="2">
        <v>114.6</v>
      </c>
      <c r="N59" s="2">
        <v>115.8</v>
      </c>
      <c r="O59" s="2">
        <v>121.7</v>
      </c>
      <c r="P59" s="2">
        <v>125.3</v>
      </c>
      <c r="Q59" s="2">
        <v>118.8</v>
      </c>
      <c r="R59" s="2">
        <v>120.9</v>
      </c>
      <c r="S59" s="2">
        <v>118.8</v>
      </c>
      <c r="T59" s="2">
        <v>120.7</v>
      </c>
      <c r="U59" s="2" t="s">
        <v>32</v>
      </c>
      <c r="V59" s="2">
        <v>115.4</v>
      </c>
      <c r="W59" s="2">
        <v>115.9</v>
      </c>
      <c r="X59" s="2">
        <v>114</v>
      </c>
      <c r="Y59" s="2">
        <v>113.2</v>
      </c>
      <c r="Z59" s="2">
        <v>112.2</v>
      </c>
      <c r="AA59" s="2">
        <v>116.2</v>
      </c>
      <c r="AB59" s="2">
        <v>109.4</v>
      </c>
      <c r="AC59" s="2">
        <v>113.5</v>
      </c>
      <c r="AD59" s="2">
        <v>120.7</v>
      </c>
    </row>
    <row r="60" spans="1:30" ht="14.4" x14ac:dyDescent="0.3">
      <c r="A60" s="2" t="s">
        <v>33</v>
      </c>
      <c r="B60" s="2">
        <v>2014</v>
      </c>
      <c r="C60" s="2" t="s">
        <v>41</v>
      </c>
      <c r="D60" s="2">
        <v>124.8</v>
      </c>
      <c r="E60" s="2">
        <v>127.3</v>
      </c>
      <c r="F60" s="2">
        <v>116.5</v>
      </c>
      <c r="G60" s="2">
        <v>122.2</v>
      </c>
      <c r="H60" s="2">
        <v>103.6</v>
      </c>
      <c r="I60" s="2">
        <v>132.69999999999999</v>
      </c>
      <c r="J60" s="2">
        <v>181.9</v>
      </c>
      <c r="K60" s="2">
        <v>115.2</v>
      </c>
      <c r="L60" s="2">
        <v>102.7</v>
      </c>
      <c r="M60" s="2">
        <v>122.1</v>
      </c>
      <c r="N60" s="2">
        <v>114.4</v>
      </c>
      <c r="O60" s="2">
        <v>124.7</v>
      </c>
      <c r="P60" s="2">
        <v>128.9</v>
      </c>
      <c r="Q60" s="2">
        <v>123</v>
      </c>
      <c r="R60" s="2">
        <v>118.6</v>
      </c>
      <c r="S60" s="2">
        <v>114.1</v>
      </c>
      <c r="T60" s="2">
        <v>117.9</v>
      </c>
      <c r="U60" s="2">
        <v>115.5</v>
      </c>
      <c r="V60" s="2">
        <v>111.8</v>
      </c>
      <c r="W60" s="2">
        <v>115.3</v>
      </c>
      <c r="X60" s="2">
        <v>112.2</v>
      </c>
      <c r="Y60" s="2">
        <v>112.5</v>
      </c>
      <c r="Z60" s="2">
        <v>112.9</v>
      </c>
      <c r="AA60" s="2">
        <v>119.2</v>
      </c>
      <c r="AB60" s="2">
        <v>110.5</v>
      </c>
      <c r="AC60" s="2">
        <v>113.9</v>
      </c>
      <c r="AD60" s="2">
        <v>119.9</v>
      </c>
    </row>
    <row r="61" spans="1:30" ht="14.4" x14ac:dyDescent="0.3">
      <c r="A61" s="2" t="s">
        <v>34</v>
      </c>
      <c r="B61" s="2">
        <v>2014</v>
      </c>
      <c r="C61" s="2" t="s">
        <v>41</v>
      </c>
      <c r="D61" s="2">
        <v>122.7</v>
      </c>
      <c r="E61" s="2">
        <v>124.4</v>
      </c>
      <c r="F61" s="2">
        <v>117.3</v>
      </c>
      <c r="G61" s="2">
        <v>122</v>
      </c>
      <c r="H61" s="2">
        <v>108</v>
      </c>
      <c r="I61" s="2">
        <v>131.1</v>
      </c>
      <c r="J61" s="2">
        <v>168.2</v>
      </c>
      <c r="K61" s="2">
        <v>114.5</v>
      </c>
      <c r="L61" s="2">
        <v>104.3</v>
      </c>
      <c r="M61" s="2">
        <v>117.1</v>
      </c>
      <c r="N61" s="2">
        <v>115.2</v>
      </c>
      <c r="O61" s="2">
        <v>123.1</v>
      </c>
      <c r="P61" s="2">
        <v>126.6</v>
      </c>
      <c r="Q61" s="2">
        <v>119.9</v>
      </c>
      <c r="R61" s="2">
        <v>120</v>
      </c>
      <c r="S61" s="2">
        <v>116.8</v>
      </c>
      <c r="T61" s="2">
        <v>119.6</v>
      </c>
      <c r="U61" s="2">
        <v>115.5</v>
      </c>
      <c r="V61" s="2">
        <v>114</v>
      </c>
      <c r="W61" s="2">
        <v>115.6</v>
      </c>
      <c r="X61" s="2">
        <v>113.3</v>
      </c>
      <c r="Y61" s="2">
        <v>112.8</v>
      </c>
      <c r="Z61" s="2">
        <v>112.6</v>
      </c>
      <c r="AA61" s="2">
        <v>118</v>
      </c>
      <c r="AB61" s="2">
        <v>109.9</v>
      </c>
      <c r="AC61" s="2">
        <v>113.7</v>
      </c>
      <c r="AD61" s="2">
        <v>120.3</v>
      </c>
    </row>
    <row r="62" spans="1:30" ht="14.4" x14ac:dyDescent="0.3">
      <c r="A62" s="2" t="s">
        <v>30</v>
      </c>
      <c r="B62" s="2">
        <v>2014</v>
      </c>
      <c r="C62" s="2" t="s">
        <v>42</v>
      </c>
      <c r="D62" s="2">
        <v>122.3</v>
      </c>
      <c r="E62" s="2">
        <v>122.4</v>
      </c>
      <c r="F62" s="2">
        <v>117.8</v>
      </c>
      <c r="G62" s="2">
        <v>122.7</v>
      </c>
      <c r="H62" s="2">
        <v>110.4</v>
      </c>
      <c r="I62" s="2">
        <v>129.80000000000001</v>
      </c>
      <c r="J62" s="2">
        <v>158.80000000000001</v>
      </c>
      <c r="K62" s="2">
        <v>115</v>
      </c>
      <c r="L62" s="2">
        <v>104.7</v>
      </c>
      <c r="M62" s="2">
        <v>114.9</v>
      </c>
      <c r="N62" s="2">
        <v>116.5</v>
      </c>
      <c r="O62" s="2">
        <v>122.6</v>
      </c>
      <c r="P62" s="2">
        <v>125.3</v>
      </c>
      <c r="Q62" s="2">
        <v>119.5</v>
      </c>
      <c r="R62" s="2">
        <v>121.7</v>
      </c>
      <c r="S62" s="2">
        <v>119.2</v>
      </c>
      <c r="T62" s="2">
        <v>121.3</v>
      </c>
      <c r="U62" s="2" t="s">
        <v>32</v>
      </c>
      <c r="V62" s="2">
        <v>115.8</v>
      </c>
      <c r="W62" s="2">
        <v>116.7</v>
      </c>
      <c r="X62" s="2">
        <v>114.5</v>
      </c>
      <c r="Y62" s="2">
        <v>112.8</v>
      </c>
      <c r="Z62" s="2">
        <v>112.6</v>
      </c>
      <c r="AA62" s="2">
        <v>116.6</v>
      </c>
      <c r="AB62" s="2">
        <v>109.1</v>
      </c>
      <c r="AC62" s="2">
        <v>113.7</v>
      </c>
      <c r="AD62" s="2">
        <v>120.9</v>
      </c>
    </row>
    <row r="63" spans="1:30" ht="14.4" x14ac:dyDescent="0.3">
      <c r="A63" s="2" t="s">
        <v>33</v>
      </c>
      <c r="B63" s="2">
        <v>2014</v>
      </c>
      <c r="C63" s="2" t="s">
        <v>42</v>
      </c>
      <c r="D63" s="2">
        <v>124.2</v>
      </c>
      <c r="E63" s="2">
        <v>125.4</v>
      </c>
      <c r="F63" s="2">
        <v>116.4</v>
      </c>
      <c r="G63" s="2">
        <v>122.7</v>
      </c>
      <c r="H63" s="2">
        <v>103.5</v>
      </c>
      <c r="I63" s="2">
        <v>124.5</v>
      </c>
      <c r="J63" s="2">
        <v>168.6</v>
      </c>
      <c r="K63" s="2">
        <v>116.9</v>
      </c>
      <c r="L63" s="2">
        <v>101.9</v>
      </c>
      <c r="M63" s="2">
        <v>122.9</v>
      </c>
      <c r="N63" s="2">
        <v>114.8</v>
      </c>
      <c r="O63" s="2">
        <v>125.2</v>
      </c>
      <c r="P63" s="2">
        <v>126.7</v>
      </c>
      <c r="Q63" s="2">
        <v>124.3</v>
      </c>
      <c r="R63" s="2">
        <v>119.2</v>
      </c>
      <c r="S63" s="2">
        <v>114.5</v>
      </c>
      <c r="T63" s="2">
        <v>118.4</v>
      </c>
      <c r="U63" s="2">
        <v>116.1</v>
      </c>
      <c r="V63" s="2">
        <v>111.8</v>
      </c>
      <c r="W63" s="2">
        <v>115.5</v>
      </c>
      <c r="X63" s="2">
        <v>112.3</v>
      </c>
      <c r="Y63" s="2">
        <v>111.2</v>
      </c>
      <c r="Z63" s="2">
        <v>113.4</v>
      </c>
      <c r="AA63" s="2">
        <v>120</v>
      </c>
      <c r="AB63" s="2">
        <v>110</v>
      </c>
      <c r="AC63" s="2">
        <v>113.6</v>
      </c>
      <c r="AD63" s="2">
        <v>119.2</v>
      </c>
    </row>
    <row r="64" spans="1:30" ht="14.4" x14ac:dyDescent="0.3">
      <c r="A64" s="2" t="s">
        <v>34</v>
      </c>
      <c r="B64" s="2">
        <v>2014</v>
      </c>
      <c r="C64" s="2" t="s">
        <v>42</v>
      </c>
      <c r="D64" s="2">
        <v>122.9</v>
      </c>
      <c r="E64" s="2">
        <v>123.5</v>
      </c>
      <c r="F64" s="2">
        <v>117.3</v>
      </c>
      <c r="G64" s="2">
        <v>122.7</v>
      </c>
      <c r="H64" s="2">
        <v>107.9</v>
      </c>
      <c r="I64" s="2">
        <v>127.3</v>
      </c>
      <c r="J64" s="2">
        <v>162.1</v>
      </c>
      <c r="K64" s="2">
        <v>115.6</v>
      </c>
      <c r="L64" s="2">
        <v>103.8</v>
      </c>
      <c r="M64" s="2">
        <v>117.6</v>
      </c>
      <c r="N64" s="2">
        <v>115.8</v>
      </c>
      <c r="O64" s="2">
        <v>123.8</v>
      </c>
      <c r="P64" s="2">
        <v>125.8</v>
      </c>
      <c r="Q64" s="2">
        <v>120.8</v>
      </c>
      <c r="R64" s="2">
        <v>120.7</v>
      </c>
      <c r="S64" s="2">
        <v>117.2</v>
      </c>
      <c r="T64" s="2">
        <v>120.1</v>
      </c>
      <c r="U64" s="2">
        <v>116.1</v>
      </c>
      <c r="V64" s="2">
        <v>114.3</v>
      </c>
      <c r="W64" s="2">
        <v>116.1</v>
      </c>
      <c r="X64" s="2">
        <v>113.7</v>
      </c>
      <c r="Y64" s="2">
        <v>112</v>
      </c>
      <c r="Z64" s="2">
        <v>113.1</v>
      </c>
      <c r="AA64" s="2">
        <v>118.6</v>
      </c>
      <c r="AB64" s="2">
        <v>109.5</v>
      </c>
      <c r="AC64" s="2">
        <v>113.7</v>
      </c>
      <c r="AD64" s="2">
        <v>120.1</v>
      </c>
    </row>
    <row r="65" spans="1:30" ht="14.4" x14ac:dyDescent="0.3">
      <c r="A65" s="2" t="s">
        <v>30</v>
      </c>
      <c r="B65" s="2">
        <v>2014</v>
      </c>
      <c r="C65" s="2" t="s">
        <v>43</v>
      </c>
      <c r="D65" s="2">
        <v>122.6</v>
      </c>
      <c r="E65" s="2">
        <v>122.5</v>
      </c>
      <c r="F65" s="2">
        <v>118.3</v>
      </c>
      <c r="G65" s="2">
        <v>123.2</v>
      </c>
      <c r="H65" s="2">
        <v>110.5</v>
      </c>
      <c r="I65" s="2">
        <v>128.9</v>
      </c>
      <c r="J65" s="2">
        <v>155.30000000000001</v>
      </c>
      <c r="K65" s="2">
        <v>115.5</v>
      </c>
      <c r="L65" s="2">
        <v>104</v>
      </c>
      <c r="M65" s="2">
        <v>115.3</v>
      </c>
      <c r="N65" s="2">
        <v>116.8</v>
      </c>
      <c r="O65" s="2">
        <v>123.2</v>
      </c>
      <c r="P65" s="2">
        <v>125.1</v>
      </c>
      <c r="Q65" s="2">
        <v>120</v>
      </c>
      <c r="R65" s="2">
        <v>122.7</v>
      </c>
      <c r="S65" s="2">
        <v>120.3</v>
      </c>
      <c r="T65" s="2">
        <v>122.3</v>
      </c>
      <c r="U65" s="2" t="s">
        <v>32</v>
      </c>
      <c r="V65" s="2">
        <v>116.4</v>
      </c>
      <c r="W65" s="2">
        <v>117.5</v>
      </c>
      <c r="X65" s="2">
        <v>115.3</v>
      </c>
      <c r="Y65" s="2">
        <v>112.6</v>
      </c>
      <c r="Z65" s="2">
        <v>113</v>
      </c>
      <c r="AA65" s="2">
        <v>116.9</v>
      </c>
      <c r="AB65" s="2">
        <v>109.3</v>
      </c>
      <c r="AC65" s="2">
        <v>114</v>
      </c>
      <c r="AD65" s="2">
        <v>121</v>
      </c>
    </row>
    <row r="66" spans="1:30" ht="14.4" x14ac:dyDescent="0.3">
      <c r="A66" s="2" t="s">
        <v>33</v>
      </c>
      <c r="B66" s="2">
        <v>2014</v>
      </c>
      <c r="C66" s="2" t="s">
        <v>43</v>
      </c>
      <c r="D66" s="2">
        <v>124.6</v>
      </c>
      <c r="E66" s="2">
        <v>126.1</v>
      </c>
      <c r="F66" s="2">
        <v>117.8</v>
      </c>
      <c r="G66" s="2">
        <v>123.1</v>
      </c>
      <c r="H66" s="2">
        <v>103.5</v>
      </c>
      <c r="I66" s="2">
        <v>123.5</v>
      </c>
      <c r="J66" s="2">
        <v>159.6</v>
      </c>
      <c r="K66" s="2">
        <v>117.4</v>
      </c>
      <c r="L66" s="2">
        <v>101.2</v>
      </c>
      <c r="M66" s="2">
        <v>123.8</v>
      </c>
      <c r="N66" s="2">
        <v>115.2</v>
      </c>
      <c r="O66" s="2">
        <v>125.9</v>
      </c>
      <c r="P66" s="2">
        <v>125.8</v>
      </c>
      <c r="Q66" s="2">
        <v>124.3</v>
      </c>
      <c r="R66" s="2">
        <v>119.6</v>
      </c>
      <c r="S66" s="2">
        <v>114.9</v>
      </c>
      <c r="T66" s="2">
        <v>118.9</v>
      </c>
      <c r="U66" s="2">
        <v>116.7</v>
      </c>
      <c r="V66" s="2">
        <v>112</v>
      </c>
      <c r="W66" s="2">
        <v>115.8</v>
      </c>
      <c r="X66" s="2">
        <v>112.6</v>
      </c>
      <c r="Y66" s="2">
        <v>111</v>
      </c>
      <c r="Z66" s="2">
        <v>113.6</v>
      </c>
      <c r="AA66" s="2">
        <v>120.2</v>
      </c>
      <c r="AB66" s="2">
        <v>110.1</v>
      </c>
      <c r="AC66" s="2">
        <v>113.7</v>
      </c>
      <c r="AD66" s="2">
        <v>119.1</v>
      </c>
    </row>
    <row r="67" spans="1:30" ht="14.4" x14ac:dyDescent="0.3">
      <c r="A67" s="2" t="s">
        <v>34</v>
      </c>
      <c r="B67" s="2">
        <v>2014</v>
      </c>
      <c r="C67" s="2" t="s">
        <v>43</v>
      </c>
      <c r="D67" s="2">
        <v>123.2</v>
      </c>
      <c r="E67" s="2">
        <v>123.8</v>
      </c>
      <c r="F67" s="2">
        <v>118.1</v>
      </c>
      <c r="G67" s="2">
        <v>123.2</v>
      </c>
      <c r="H67" s="2">
        <v>107.9</v>
      </c>
      <c r="I67" s="2">
        <v>126.4</v>
      </c>
      <c r="J67" s="2">
        <v>156.80000000000001</v>
      </c>
      <c r="K67" s="2">
        <v>116.1</v>
      </c>
      <c r="L67" s="2">
        <v>103.1</v>
      </c>
      <c r="M67" s="2">
        <v>118.1</v>
      </c>
      <c r="N67" s="2">
        <v>116.1</v>
      </c>
      <c r="O67" s="2">
        <v>124.5</v>
      </c>
      <c r="P67" s="2">
        <v>125.4</v>
      </c>
      <c r="Q67" s="2">
        <v>121.1</v>
      </c>
      <c r="R67" s="2">
        <v>121.5</v>
      </c>
      <c r="S67" s="2">
        <v>118.1</v>
      </c>
      <c r="T67" s="2">
        <v>121</v>
      </c>
      <c r="U67" s="2">
        <v>116.7</v>
      </c>
      <c r="V67" s="2">
        <v>114.7</v>
      </c>
      <c r="W67" s="2">
        <v>116.7</v>
      </c>
      <c r="X67" s="2">
        <v>114.3</v>
      </c>
      <c r="Y67" s="2">
        <v>111.8</v>
      </c>
      <c r="Z67" s="2">
        <v>113.3</v>
      </c>
      <c r="AA67" s="2">
        <v>118.8</v>
      </c>
      <c r="AB67" s="2">
        <v>109.6</v>
      </c>
      <c r="AC67" s="2">
        <v>113.9</v>
      </c>
      <c r="AD67" s="2">
        <v>120.1</v>
      </c>
    </row>
    <row r="68" spans="1:30" ht="14.4" x14ac:dyDescent="0.3">
      <c r="A68" s="2" t="s">
        <v>30</v>
      </c>
      <c r="B68" s="2">
        <v>2014</v>
      </c>
      <c r="C68" s="2" t="s">
        <v>44</v>
      </c>
      <c r="D68" s="2">
        <v>122.7</v>
      </c>
      <c r="E68" s="2">
        <v>122.6</v>
      </c>
      <c r="F68" s="2">
        <v>119.9</v>
      </c>
      <c r="G68" s="2">
        <v>124</v>
      </c>
      <c r="H68" s="2">
        <v>110.5</v>
      </c>
      <c r="I68" s="2">
        <v>128.80000000000001</v>
      </c>
      <c r="J68" s="2">
        <v>152</v>
      </c>
      <c r="K68" s="2">
        <v>116.2</v>
      </c>
      <c r="L68" s="2">
        <v>103.3</v>
      </c>
      <c r="M68" s="2">
        <v>115.8</v>
      </c>
      <c r="N68" s="2">
        <v>116.8</v>
      </c>
      <c r="O68" s="2">
        <v>124.5</v>
      </c>
      <c r="P68" s="2">
        <v>124.9</v>
      </c>
      <c r="Q68" s="2">
        <v>120.8</v>
      </c>
      <c r="R68" s="2">
        <v>123.3</v>
      </c>
      <c r="S68" s="2">
        <v>120.5</v>
      </c>
      <c r="T68" s="2">
        <v>122.9</v>
      </c>
      <c r="U68" s="2" t="s">
        <v>32</v>
      </c>
      <c r="V68" s="2">
        <v>117.3</v>
      </c>
      <c r="W68" s="2">
        <v>118.1</v>
      </c>
      <c r="X68" s="2">
        <v>115.9</v>
      </c>
      <c r="Y68" s="2">
        <v>112</v>
      </c>
      <c r="Z68" s="2">
        <v>113.3</v>
      </c>
      <c r="AA68" s="2">
        <v>117.2</v>
      </c>
      <c r="AB68" s="2">
        <v>108.8</v>
      </c>
      <c r="AC68" s="2">
        <v>114.1</v>
      </c>
      <c r="AD68" s="2">
        <v>121.1</v>
      </c>
    </row>
    <row r="69" spans="1:30" ht="14.4" x14ac:dyDescent="0.3">
      <c r="A69" s="2" t="s">
        <v>33</v>
      </c>
      <c r="B69" s="2">
        <v>2014</v>
      </c>
      <c r="C69" s="2" t="s">
        <v>44</v>
      </c>
      <c r="D69" s="2">
        <v>124.5</v>
      </c>
      <c r="E69" s="2">
        <v>125.6</v>
      </c>
      <c r="F69" s="2">
        <v>122.7</v>
      </c>
      <c r="G69" s="2">
        <v>124.6</v>
      </c>
      <c r="H69" s="2">
        <v>103.2</v>
      </c>
      <c r="I69" s="2">
        <v>122.2</v>
      </c>
      <c r="J69" s="2">
        <v>153.19999999999999</v>
      </c>
      <c r="K69" s="2">
        <v>119.3</v>
      </c>
      <c r="L69" s="2">
        <v>99.8</v>
      </c>
      <c r="M69" s="2">
        <v>124.6</v>
      </c>
      <c r="N69" s="2">
        <v>115.8</v>
      </c>
      <c r="O69" s="2">
        <v>126.9</v>
      </c>
      <c r="P69" s="2">
        <v>125.4</v>
      </c>
      <c r="Q69" s="2">
        <v>125.8</v>
      </c>
      <c r="R69" s="2">
        <v>120.3</v>
      </c>
      <c r="S69" s="2">
        <v>115.4</v>
      </c>
      <c r="T69" s="2">
        <v>119.5</v>
      </c>
      <c r="U69" s="2">
        <v>117.1</v>
      </c>
      <c r="V69" s="2">
        <v>112.6</v>
      </c>
      <c r="W69" s="2">
        <v>116.4</v>
      </c>
      <c r="X69" s="2">
        <v>113</v>
      </c>
      <c r="Y69" s="2">
        <v>109.7</v>
      </c>
      <c r="Z69" s="2">
        <v>114</v>
      </c>
      <c r="AA69" s="2">
        <v>120.3</v>
      </c>
      <c r="AB69" s="2">
        <v>109.6</v>
      </c>
      <c r="AC69" s="2">
        <v>113.4</v>
      </c>
      <c r="AD69" s="2">
        <v>119</v>
      </c>
    </row>
    <row r="70" spans="1:30" ht="14.4" x14ac:dyDescent="0.3">
      <c r="A70" s="2" t="s">
        <v>34</v>
      </c>
      <c r="B70" s="2">
        <v>2014</v>
      </c>
      <c r="C70" s="2" t="s">
        <v>44</v>
      </c>
      <c r="D70" s="2">
        <v>123.3</v>
      </c>
      <c r="E70" s="2">
        <v>123.7</v>
      </c>
      <c r="F70" s="2">
        <v>121</v>
      </c>
      <c r="G70" s="2">
        <v>124.2</v>
      </c>
      <c r="H70" s="2">
        <v>107.8</v>
      </c>
      <c r="I70" s="2">
        <v>125.7</v>
      </c>
      <c r="J70" s="2">
        <v>152.4</v>
      </c>
      <c r="K70" s="2">
        <v>117.2</v>
      </c>
      <c r="L70" s="2">
        <v>102.1</v>
      </c>
      <c r="M70" s="2">
        <v>118.7</v>
      </c>
      <c r="N70" s="2">
        <v>116.4</v>
      </c>
      <c r="O70" s="2">
        <v>125.6</v>
      </c>
      <c r="P70" s="2">
        <v>125.1</v>
      </c>
      <c r="Q70" s="2">
        <v>122.1</v>
      </c>
      <c r="R70" s="2">
        <v>122.1</v>
      </c>
      <c r="S70" s="2">
        <v>118.4</v>
      </c>
      <c r="T70" s="2">
        <v>121.6</v>
      </c>
      <c r="U70" s="2">
        <v>117.1</v>
      </c>
      <c r="V70" s="2">
        <v>115.5</v>
      </c>
      <c r="W70" s="2">
        <v>117.3</v>
      </c>
      <c r="X70" s="2">
        <v>114.8</v>
      </c>
      <c r="Y70" s="2">
        <v>110.8</v>
      </c>
      <c r="Z70" s="2">
        <v>113.7</v>
      </c>
      <c r="AA70" s="2">
        <v>119</v>
      </c>
      <c r="AB70" s="2">
        <v>109.1</v>
      </c>
      <c r="AC70" s="2">
        <v>113.8</v>
      </c>
      <c r="AD70" s="2">
        <v>120.1</v>
      </c>
    </row>
    <row r="71" spans="1:30" ht="14.4" x14ac:dyDescent="0.3">
      <c r="A71" s="2" t="s">
        <v>30</v>
      </c>
      <c r="B71" s="2">
        <v>2014</v>
      </c>
      <c r="C71" s="2" t="s">
        <v>45</v>
      </c>
      <c r="D71" s="2">
        <v>122.4</v>
      </c>
      <c r="E71" s="2">
        <v>122.4</v>
      </c>
      <c r="F71" s="2">
        <v>121.8</v>
      </c>
      <c r="G71" s="2">
        <v>124.2</v>
      </c>
      <c r="H71" s="2">
        <v>110.2</v>
      </c>
      <c r="I71" s="2">
        <v>128.6</v>
      </c>
      <c r="J71" s="2">
        <v>140.30000000000001</v>
      </c>
      <c r="K71" s="2">
        <v>116.3</v>
      </c>
      <c r="L71" s="2">
        <v>102</v>
      </c>
      <c r="M71" s="2">
        <v>116</v>
      </c>
      <c r="N71" s="2">
        <v>117.3</v>
      </c>
      <c r="O71" s="2">
        <v>124.8</v>
      </c>
      <c r="P71" s="2">
        <v>123.3</v>
      </c>
      <c r="Q71" s="2">
        <v>121.7</v>
      </c>
      <c r="R71" s="2">
        <v>123.8</v>
      </c>
      <c r="S71" s="2">
        <v>120.6</v>
      </c>
      <c r="T71" s="2">
        <v>123.3</v>
      </c>
      <c r="U71" s="2" t="s">
        <v>32</v>
      </c>
      <c r="V71" s="2">
        <v>117.4</v>
      </c>
      <c r="W71" s="2">
        <v>118.2</v>
      </c>
      <c r="X71" s="2">
        <v>116.2</v>
      </c>
      <c r="Y71" s="2">
        <v>111.5</v>
      </c>
      <c r="Z71" s="2">
        <v>113.3</v>
      </c>
      <c r="AA71" s="2">
        <v>117.7</v>
      </c>
      <c r="AB71" s="2">
        <v>109.4</v>
      </c>
      <c r="AC71" s="2">
        <v>114.2</v>
      </c>
      <c r="AD71" s="2">
        <v>120.3</v>
      </c>
    </row>
    <row r="72" spans="1:30" ht="14.4" x14ac:dyDescent="0.3">
      <c r="A72" s="2" t="s">
        <v>33</v>
      </c>
      <c r="B72" s="2">
        <v>2014</v>
      </c>
      <c r="C72" s="2" t="s">
        <v>45</v>
      </c>
      <c r="D72" s="2">
        <v>124</v>
      </c>
      <c r="E72" s="2">
        <v>124.7</v>
      </c>
      <c r="F72" s="2">
        <v>126.3</v>
      </c>
      <c r="G72" s="2">
        <v>124.9</v>
      </c>
      <c r="H72" s="2">
        <v>103</v>
      </c>
      <c r="I72" s="2">
        <v>122.3</v>
      </c>
      <c r="J72" s="2">
        <v>141</v>
      </c>
      <c r="K72" s="2">
        <v>120.1</v>
      </c>
      <c r="L72" s="2">
        <v>97.8</v>
      </c>
      <c r="M72" s="2">
        <v>125.4</v>
      </c>
      <c r="N72" s="2">
        <v>116.1</v>
      </c>
      <c r="O72" s="2">
        <v>127.6</v>
      </c>
      <c r="P72" s="2">
        <v>124</v>
      </c>
      <c r="Q72" s="2">
        <v>126.4</v>
      </c>
      <c r="R72" s="2">
        <v>120.7</v>
      </c>
      <c r="S72" s="2">
        <v>115.8</v>
      </c>
      <c r="T72" s="2">
        <v>120</v>
      </c>
      <c r="U72" s="2">
        <v>116.5</v>
      </c>
      <c r="V72" s="2">
        <v>113</v>
      </c>
      <c r="W72" s="2">
        <v>116.8</v>
      </c>
      <c r="X72" s="2">
        <v>113.2</v>
      </c>
      <c r="Y72" s="2">
        <v>108.8</v>
      </c>
      <c r="Z72" s="2">
        <v>114.3</v>
      </c>
      <c r="AA72" s="2">
        <v>120.7</v>
      </c>
      <c r="AB72" s="2">
        <v>110.4</v>
      </c>
      <c r="AC72" s="2">
        <v>113.4</v>
      </c>
      <c r="AD72" s="2">
        <v>118.4</v>
      </c>
    </row>
    <row r="73" spans="1:30" ht="14.4" x14ac:dyDescent="0.3">
      <c r="A73" s="2" t="s">
        <v>34</v>
      </c>
      <c r="B73" s="2">
        <v>2014</v>
      </c>
      <c r="C73" s="2" t="s">
        <v>45</v>
      </c>
      <c r="D73" s="2">
        <v>122.9</v>
      </c>
      <c r="E73" s="2">
        <v>123.2</v>
      </c>
      <c r="F73" s="2">
        <v>123.5</v>
      </c>
      <c r="G73" s="2">
        <v>124.5</v>
      </c>
      <c r="H73" s="2">
        <v>107.6</v>
      </c>
      <c r="I73" s="2">
        <v>125.7</v>
      </c>
      <c r="J73" s="2">
        <v>140.5</v>
      </c>
      <c r="K73" s="2">
        <v>117.6</v>
      </c>
      <c r="L73" s="2">
        <v>100.6</v>
      </c>
      <c r="M73" s="2">
        <v>119.1</v>
      </c>
      <c r="N73" s="2">
        <v>116.8</v>
      </c>
      <c r="O73" s="2">
        <v>126.1</v>
      </c>
      <c r="P73" s="2">
        <v>123.6</v>
      </c>
      <c r="Q73" s="2">
        <v>123</v>
      </c>
      <c r="R73" s="2">
        <v>122.6</v>
      </c>
      <c r="S73" s="2">
        <v>118.6</v>
      </c>
      <c r="T73" s="2">
        <v>122</v>
      </c>
      <c r="U73" s="2">
        <v>116.5</v>
      </c>
      <c r="V73" s="2">
        <v>115.7</v>
      </c>
      <c r="W73" s="2">
        <v>117.5</v>
      </c>
      <c r="X73" s="2">
        <v>115.1</v>
      </c>
      <c r="Y73" s="2">
        <v>110.1</v>
      </c>
      <c r="Z73" s="2">
        <v>113.9</v>
      </c>
      <c r="AA73" s="2">
        <v>119.5</v>
      </c>
      <c r="AB73" s="2">
        <v>109.8</v>
      </c>
      <c r="AC73" s="2">
        <v>113.8</v>
      </c>
      <c r="AD73" s="2">
        <v>119.4</v>
      </c>
    </row>
    <row r="74" spans="1:30" ht="14.4" x14ac:dyDescent="0.3">
      <c r="A74" s="2" t="s">
        <v>30</v>
      </c>
      <c r="B74" s="2">
        <v>2015</v>
      </c>
      <c r="C74" s="2" t="s">
        <v>31</v>
      </c>
      <c r="D74" s="2">
        <v>123.1</v>
      </c>
      <c r="E74" s="2">
        <v>123.1</v>
      </c>
      <c r="F74" s="2">
        <v>122.1</v>
      </c>
      <c r="G74" s="2">
        <v>124.9</v>
      </c>
      <c r="H74" s="2">
        <v>111</v>
      </c>
      <c r="I74" s="2">
        <v>130.4</v>
      </c>
      <c r="J74" s="2">
        <v>132.30000000000001</v>
      </c>
      <c r="K74" s="2">
        <v>117.2</v>
      </c>
      <c r="L74" s="2">
        <v>100.5</v>
      </c>
      <c r="M74" s="2">
        <v>117.2</v>
      </c>
      <c r="N74" s="2">
        <v>117.9</v>
      </c>
      <c r="O74" s="2">
        <v>125.6</v>
      </c>
      <c r="P74" s="2">
        <v>122.8</v>
      </c>
      <c r="Q74" s="2">
        <v>122.7</v>
      </c>
      <c r="R74" s="2">
        <v>124.4</v>
      </c>
      <c r="S74" s="2">
        <v>121.6</v>
      </c>
      <c r="T74" s="2">
        <v>124</v>
      </c>
      <c r="U74" s="2" t="s">
        <v>32</v>
      </c>
      <c r="V74" s="2">
        <v>118.4</v>
      </c>
      <c r="W74" s="2">
        <v>118.9</v>
      </c>
      <c r="X74" s="2">
        <v>116.6</v>
      </c>
      <c r="Y74" s="2">
        <v>111</v>
      </c>
      <c r="Z74" s="2">
        <v>114</v>
      </c>
      <c r="AA74" s="2">
        <v>118.2</v>
      </c>
      <c r="AB74" s="2">
        <v>110.2</v>
      </c>
      <c r="AC74" s="2">
        <v>114.5</v>
      </c>
      <c r="AD74" s="2">
        <v>120.3</v>
      </c>
    </row>
    <row r="75" spans="1:30" ht="14.4" x14ac:dyDescent="0.3">
      <c r="A75" s="2" t="s">
        <v>33</v>
      </c>
      <c r="B75" s="2">
        <v>2015</v>
      </c>
      <c r="C75" s="2" t="s">
        <v>31</v>
      </c>
      <c r="D75" s="2">
        <v>124</v>
      </c>
      <c r="E75" s="2">
        <v>125.5</v>
      </c>
      <c r="F75" s="2">
        <v>126.6</v>
      </c>
      <c r="G75" s="2">
        <v>125.2</v>
      </c>
      <c r="H75" s="2">
        <v>104.3</v>
      </c>
      <c r="I75" s="2">
        <v>121.3</v>
      </c>
      <c r="J75" s="2">
        <v>134.4</v>
      </c>
      <c r="K75" s="2">
        <v>122.9</v>
      </c>
      <c r="L75" s="2">
        <v>96.1</v>
      </c>
      <c r="M75" s="2">
        <v>126.6</v>
      </c>
      <c r="N75" s="2">
        <v>116.5</v>
      </c>
      <c r="O75" s="2">
        <v>128</v>
      </c>
      <c r="P75" s="2">
        <v>123.5</v>
      </c>
      <c r="Q75" s="2">
        <v>127.4</v>
      </c>
      <c r="R75" s="2">
        <v>121</v>
      </c>
      <c r="S75" s="2">
        <v>116.1</v>
      </c>
      <c r="T75" s="2">
        <v>120.2</v>
      </c>
      <c r="U75" s="2">
        <v>117.3</v>
      </c>
      <c r="V75" s="2">
        <v>113.4</v>
      </c>
      <c r="W75" s="2">
        <v>117.2</v>
      </c>
      <c r="X75" s="2">
        <v>113.7</v>
      </c>
      <c r="Y75" s="2">
        <v>107.9</v>
      </c>
      <c r="Z75" s="2">
        <v>114.6</v>
      </c>
      <c r="AA75" s="2">
        <v>120.8</v>
      </c>
      <c r="AB75" s="2">
        <v>111.4</v>
      </c>
      <c r="AC75" s="2">
        <v>113.4</v>
      </c>
      <c r="AD75" s="2">
        <v>118.5</v>
      </c>
    </row>
    <row r="76" spans="1:30" ht="14.4" x14ac:dyDescent="0.3">
      <c r="A76" s="2" t="s">
        <v>34</v>
      </c>
      <c r="B76" s="2">
        <v>2015</v>
      </c>
      <c r="C76" s="2" t="s">
        <v>31</v>
      </c>
      <c r="D76" s="2">
        <v>123.4</v>
      </c>
      <c r="E76" s="2">
        <v>123.9</v>
      </c>
      <c r="F76" s="2">
        <v>123.8</v>
      </c>
      <c r="G76" s="2">
        <v>125</v>
      </c>
      <c r="H76" s="2">
        <v>108.5</v>
      </c>
      <c r="I76" s="2">
        <v>126.2</v>
      </c>
      <c r="J76" s="2">
        <v>133</v>
      </c>
      <c r="K76" s="2">
        <v>119.1</v>
      </c>
      <c r="L76" s="2">
        <v>99</v>
      </c>
      <c r="M76" s="2">
        <v>120.3</v>
      </c>
      <c r="N76" s="2">
        <v>117.3</v>
      </c>
      <c r="O76" s="2">
        <v>126.7</v>
      </c>
      <c r="P76" s="2">
        <v>123.1</v>
      </c>
      <c r="Q76" s="2">
        <v>124</v>
      </c>
      <c r="R76" s="2">
        <v>123.1</v>
      </c>
      <c r="S76" s="2">
        <v>119.3</v>
      </c>
      <c r="T76" s="2">
        <v>122.5</v>
      </c>
      <c r="U76" s="2">
        <v>117.3</v>
      </c>
      <c r="V76" s="2">
        <v>116.5</v>
      </c>
      <c r="W76" s="2">
        <v>118.1</v>
      </c>
      <c r="X76" s="2">
        <v>115.5</v>
      </c>
      <c r="Y76" s="2">
        <v>109.4</v>
      </c>
      <c r="Z76" s="2">
        <v>114.3</v>
      </c>
      <c r="AA76" s="2">
        <v>119.7</v>
      </c>
      <c r="AB76" s="2">
        <v>110.7</v>
      </c>
      <c r="AC76" s="2">
        <v>114</v>
      </c>
      <c r="AD76" s="2">
        <v>119.5</v>
      </c>
    </row>
    <row r="77" spans="1:30" ht="14.4" x14ac:dyDescent="0.3">
      <c r="A77" s="2" t="s">
        <v>30</v>
      </c>
      <c r="B77" s="2">
        <v>2015</v>
      </c>
      <c r="C77" s="2" t="s">
        <v>35</v>
      </c>
      <c r="D77" s="2">
        <v>123.4</v>
      </c>
      <c r="E77" s="2">
        <v>124.4</v>
      </c>
      <c r="F77" s="2">
        <v>122.1</v>
      </c>
      <c r="G77" s="2">
        <v>125.8</v>
      </c>
      <c r="H77" s="2">
        <v>111.5</v>
      </c>
      <c r="I77" s="2">
        <v>129.4</v>
      </c>
      <c r="J77" s="2">
        <v>128.19999999999999</v>
      </c>
      <c r="K77" s="2">
        <v>118.8</v>
      </c>
      <c r="L77" s="2">
        <v>100</v>
      </c>
      <c r="M77" s="2">
        <v>118.6</v>
      </c>
      <c r="N77" s="2">
        <v>118.8</v>
      </c>
      <c r="O77" s="2">
        <v>126.8</v>
      </c>
      <c r="P77" s="2">
        <v>122.8</v>
      </c>
      <c r="Q77" s="2">
        <v>124.2</v>
      </c>
      <c r="R77" s="2">
        <v>125.4</v>
      </c>
      <c r="S77" s="2">
        <v>122.7</v>
      </c>
      <c r="T77" s="2">
        <v>125</v>
      </c>
      <c r="U77" s="2" t="s">
        <v>32</v>
      </c>
      <c r="V77" s="2">
        <v>120</v>
      </c>
      <c r="W77" s="2">
        <v>119.6</v>
      </c>
      <c r="X77" s="2">
        <v>117.7</v>
      </c>
      <c r="Y77" s="2">
        <v>110.9</v>
      </c>
      <c r="Z77" s="2">
        <v>114.8</v>
      </c>
      <c r="AA77" s="2">
        <v>118.7</v>
      </c>
      <c r="AB77" s="2">
        <v>110.8</v>
      </c>
      <c r="AC77" s="2">
        <v>115</v>
      </c>
      <c r="AD77" s="2">
        <v>120.6</v>
      </c>
    </row>
    <row r="78" spans="1:30" ht="14.4" x14ac:dyDescent="0.3">
      <c r="A78" s="2" t="s">
        <v>33</v>
      </c>
      <c r="B78" s="2">
        <v>2015</v>
      </c>
      <c r="C78" s="2" t="s">
        <v>35</v>
      </c>
      <c r="D78" s="2">
        <v>124.3</v>
      </c>
      <c r="E78" s="2">
        <v>126.5</v>
      </c>
      <c r="F78" s="2">
        <v>119.5</v>
      </c>
      <c r="G78" s="2">
        <v>125.6</v>
      </c>
      <c r="H78" s="2">
        <v>104.9</v>
      </c>
      <c r="I78" s="2">
        <v>121.6</v>
      </c>
      <c r="J78" s="2">
        <v>131.80000000000001</v>
      </c>
      <c r="K78" s="2">
        <v>125.1</v>
      </c>
      <c r="L78" s="2">
        <v>95</v>
      </c>
      <c r="M78" s="2">
        <v>127.7</v>
      </c>
      <c r="N78" s="2">
        <v>116.8</v>
      </c>
      <c r="O78" s="2">
        <v>128.6</v>
      </c>
      <c r="P78" s="2">
        <v>123.7</v>
      </c>
      <c r="Q78" s="2">
        <v>128.1</v>
      </c>
      <c r="R78" s="2">
        <v>121.3</v>
      </c>
      <c r="S78" s="2">
        <v>116.5</v>
      </c>
      <c r="T78" s="2">
        <v>120.6</v>
      </c>
      <c r="U78" s="2">
        <v>118.1</v>
      </c>
      <c r="V78" s="2">
        <v>114</v>
      </c>
      <c r="W78" s="2">
        <v>117.7</v>
      </c>
      <c r="X78" s="2">
        <v>114.1</v>
      </c>
      <c r="Y78" s="2">
        <v>106.8</v>
      </c>
      <c r="Z78" s="2">
        <v>114.9</v>
      </c>
      <c r="AA78" s="2">
        <v>120.4</v>
      </c>
      <c r="AB78" s="2">
        <v>111.7</v>
      </c>
      <c r="AC78" s="2">
        <v>113.2</v>
      </c>
      <c r="AD78" s="2">
        <v>118.7</v>
      </c>
    </row>
    <row r="79" spans="1:30" ht="14.4" x14ac:dyDescent="0.3">
      <c r="A79" s="2" t="s">
        <v>34</v>
      </c>
      <c r="B79" s="2">
        <v>2015</v>
      </c>
      <c r="C79" s="2" t="s">
        <v>35</v>
      </c>
      <c r="D79" s="2">
        <v>123.7</v>
      </c>
      <c r="E79" s="2">
        <v>125.1</v>
      </c>
      <c r="F79" s="2">
        <v>121.1</v>
      </c>
      <c r="G79" s="2">
        <v>125.7</v>
      </c>
      <c r="H79" s="2">
        <v>109.1</v>
      </c>
      <c r="I79" s="2">
        <v>125.8</v>
      </c>
      <c r="J79" s="2">
        <v>129.4</v>
      </c>
      <c r="K79" s="2">
        <v>120.9</v>
      </c>
      <c r="L79" s="2">
        <v>98.3</v>
      </c>
      <c r="M79" s="2">
        <v>121.6</v>
      </c>
      <c r="N79" s="2">
        <v>118</v>
      </c>
      <c r="O79" s="2">
        <v>127.6</v>
      </c>
      <c r="P79" s="2">
        <v>123.1</v>
      </c>
      <c r="Q79" s="2">
        <v>125.2</v>
      </c>
      <c r="R79" s="2">
        <v>123.8</v>
      </c>
      <c r="S79" s="2">
        <v>120.1</v>
      </c>
      <c r="T79" s="2">
        <v>123.3</v>
      </c>
      <c r="U79" s="2">
        <v>118.1</v>
      </c>
      <c r="V79" s="2">
        <v>117.7</v>
      </c>
      <c r="W79" s="2">
        <v>118.7</v>
      </c>
      <c r="X79" s="2">
        <v>116.3</v>
      </c>
      <c r="Y79" s="2">
        <v>108.7</v>
      </c>
      <c r="Z79" s="2">
        <v>114.9</v>
      </c>
      <c r="AA79" s="2">
        <v>119.7</v>
      </c>
      <c r="AB79" s="2">
        <v>111.2</v>
      </c>
      <c r="AC79" s="2">
        <v>114.1</v>
      </c>
      <c r="AD79" s="2">
        <v>119.7</v>
      </c>
    </row>
    <row r="80" spans="1:30" ht="14.4" x14ac:dyDescent="0.3">
      <c r="A80" s="2" t="s">
        <v>30</v>
      </c>
      <c r="B80" s="2">
        <v>2015</v>
      </c>
      <c r="C80" s="2" t="s">
        <v>36</v>
      </c>
      <c r="D80" s="2">
        <v>123.3</v>
      </c>
      <c r="E80" s="2">
        <v>124.7</v>
      </c>
      <c r="F80" s="2">
        <v>118.9</v>
      </c>
      <c r="G80" s="2">
        <v>126</v>
      </c>
      <c r="H80" s="2">
        <v>111.8</v>
      </c>
      <c r="I80" s="2">
        <v>130.9</v>
      </c>
      <c r="J80" s="2">
        <v>128</v>
      </c>
      <c r="K80" s="2">
        <v>119.9</v>
      </c>
      <c r="L80" s="2">
        <v>98.9</v>
      </c>
      <c r="M80" s="2">
        <v>119.4</v>
      </c>
      <c r="N80" s="2">
        <v>118.9</v>
      </c>
      <c r="O80" s="2">
        <v>127.7</v>
      </c>
      <c r="P80" s="2">
        <v>123.1</v>
      </c>
      <c r="Q80" s="2">
        <v>124.7</v>
      </c>
      <c r="R80" s="2">
        <v>126</v>
      </c>
      <c r="S80" s="2">
        <v>122.9</v>
      </c>
      <c r="T80" s="2">
        <v>125.5</v>
      </c>
      <c r="U80" s="2" t="s">
        <v>32</v>
      </c>
      <c r="V80" s="2">
        <v>120.6</v>
      </c>
      <c r="W80" s="2">
        <v>120.2</v>
      </c>
      <c r="X80" s="2">
        <v>118.2</v>
      </c>
      <c r="Y80" s="2">
        <v>111.6</v>
      </c>
      <c r="Z80" s="2">
        <v>115.5</v>
      </c>
      <c r="AA80" s="2">
        <v>119.4</v>
      </c>
      <c r="AB80" s="2">
        <v>110.8</v>
      </c>
      <c r="AC80" s="2">
        <v>115.5</v>
      </c>
      <c r="AD80" s="2">
        <v>121.1</v>
      </c>
    </row>
    <row r="81" spans="1:30" ht="14.4" x14ac:dyDescent="0.3">
      <c r="A81" s="2" t="s">
        <v>33</v>
      </c>
      <c r="B81" s="2">
        <v>2015</v>
      </c>
      <c r="C81" s="2" t="s">
        <v>36</v>
      </c>
      <c r="D81" s="2">
        <v>124</v>
      </c>
      <c r="E81" s="2">
        <v>126.7</v>
      </c>
      <c r="F81" s="2">
        <v>113.5</v>
      </c>
      <c r="G81" s="2">
        <v>125.9</v>
      </c>
      <c r="H81" s="2">
        <v>104.8</v>
      </c>
      <c r="I81" s="2">
        <v>123.8</v>
      </c>
      <c r="J81" s="2">
        <v>131.4</v>
      </c>
      <c r="K81" s="2">
        <v>127.2</v>
      </c>
      <c r="L81" s="2">
        <v>93.2</v>
      </c>
      <c r="M81" s="2">
        <v>127.4</v>
      </c>
      <c r="N81" s="2">
        <v>117</v>
      </c>
      <c r="O81" s="2">
        <v>129.19999999999999</v>
      </c>
      <c r="P81" s="2">
        <v>123.9</v>
      </c>
      <c r="Q81" s="2">
        <v>128.80000000000001</v>
      </c>
      <c r="R81" s="2">
        <v>121.7</v>
      </c>
      <c r="S81" s="2">
        <v>116.9</v>
      </c>
      <c r="T81" s="2">
        <v>120.9</v>
      </c>
      <c r="U81" s="2">
        <v>118.6</v>
      </c>
      <c r="V81" s="2">
        <v>114.4</v>
      </c>
      <c r="W81" s="2">
        <v>118</v>
      </c>
      <c r="X81" s="2">
        <v>114.3</v>
      </c>
      <c r="Y81" s="2">
        <v>108.4</v>
      </c>
      <c r="Z81" s="2">
        <v>115.4</v>
      </c>
      <c r="AA81" s="2">
        <v>120.6</v>
      </c>
      <c r="AB81" s="2">
        <v>111.3</v>
      </c>
      <c r="AC81" s="2">
        <v>113.8</v>
      </c>
      <c r="AD81" s="2">
        <v>119.1</v>
      </c>
    </row>
    <row r="82" spans="1:30" ht="14.4" x14ac:dyDescent="0.3">
      <c r="A82" s="2" t="s">
        <v>34</v>
      </c>
      <c r="B82" s="2">
        <v>2015</v>
      </c>
      <c r="C82" s="2" t="s">
        <v>36</v>
      </c>
      <c r="D82" s="2">
        <v>123.5</v>
      </c>
      <c r="E82" s="2">
        <v>125.4</v>
      </c>
      <c r="F82" s="2">
        <v>116.8</v>
      </c>
      <c r="G82" s="2">
        <v>126</v>
      </c>
      <c r="H82" s="2">
        <v>109.2</v>
      </c>
      <c r="I82" s="2">
        <v>127.6</v>
      </c>
      <c r="J82" s="2">
        <v>129.19999999999999</v>
      </c>
      <c r="K82" s="2">
        <v>122.4</v>
      </c>
      <c r="L82" s="2">
        <v>97</v>
      </c>
      <c r="M82" s="2">
        <v>122.1</v>
      </c>
      <c r="N82" s="2">
        <v>118.1</v>
      </c>
      <c r="O82" s="2">
        <v>128.4</v>
      </c>
      <c r="P82" s="2">
        <v>123.4</v>
      </c>
      <c r="Q82" s="2">
        <v>125.8</v>
      </c>
      <c r="R82" s="2">
        <v>124.3</v>
      </c>
      <c r="S82" s="2">
        <v>120.4</v>
      </c>
      <c r="T82" s="2">
        <v>123.7</v>
      </c>
      <c r="U82" s="2">
        <v>118.6</v>
      </c>
      <c r="V82" s="2">
        <v>118.3</v>
      </c>
      <c r="W82" s="2">
        <v>119.2</v>
      </c>
      <c r="X82" s="2">
        <v>116.7</v>
      </c>
      <c r="Y82" s="2">
        <v>109.9</v>
      </c>
      <c r="Z82" s="2">
        <v>115.4</v>
      </c>
      <c r="AA82" s="2">
        <v>120.1</v>
      </c>
      <c r="AB82" s="2">
        <v>111</v>
      </c>
      <c r="AC82" s="2">
        <v>114.7</v>
      </c>
      <c r="AD82" s="2">
        <v>120.2</v>
      </c>
    </row>
    <row r="83" spans="1:30" ht="14.4" x14ac:dyDescent="0.3">
      <c r="A83" s="2" t="s">
        <v>30</v>
      </c>
      <c r="B83" s="2">
        <v>2015</v>
      </c>
      <c r="C83" s="2" t="s">
        <v>37</v>
      </c>
      <c r="D83" s="2">
        <v>123.3</v>
      </c>
      <c r="E83" s="2">
        <v>125.5</v>
      </c>
      <c r="F83" s="2">
        <v>117.2</v>
      </c>
      <c r="G83" s="2">
        <v>126.8</v>
      </c>
      <c r="H83" s="2">
        <v>111.9</v>
      </c>
      <c r="I83" s="2">
        <v>134.19999999999999</v>
      </c>
      <c r="J83" s="2">
        <v>127.5</v>
      </c>
      <c r="K83" s="2">
        <v>121.5</v>
      </c>
      <c r="L83" s="2">
        <v>97.8</v>
      </c>
      <c r="M83" s="2">
        <v>119.8</v>
      </c>
      <c r="N83" s="2">
        <v>119.4</v>
      </c>
      <c r="O83" s="2">
        <v>128.69999999999999</v>
      </c>
      <c r="P83" s="2">
        <v>123.6</v>
      </c>
      <c r="Q83" s="2">
        <v>125.7</v>
      </c>
      <c r="R83" s="2">
        <v>126.4</v>
      </c>
      <c r="S83" s="2">
        <v>123.3</v>
      </c>
      <c r="T83" s="2">
        <v>126</v>
      </c>
      <c r="U83" s="2" t="s">
        <v>32</v>
      </c>
      <c r="V83" s="2">
        <v>121.2</v>
      </c>
      <c r="W83" s="2">
        <v>120.9</v>
      </c>
      <c r="X83" s="2">
        <v>118.6</v>
      </c>
      <c r="Y83" s="2">
        <v>111.9</v>
      </c>
      <c r="Z83" s="2">
        <v>116.2</v>
      </c>
      <c r="AA83" s="2">
        <v>119.9</v>
      </c>
      <c r="AB83" s="2">
        <v>111.6</v>
      </c>
      <c r="AC83" s="2">
        <v>116</v>
      </c>
      <c r="AD83" s="2">
        <v>121.5</v>
      </c>
    </row>
    <row r="84" spans="1:30" ht="14.4" x14ac:dyDescent="0.3">
      <c r="A84" s="2" t="s">
        <v>33</v>
      </c>
      <c r="B84" s="2">
        <v>2015</v>
      </c>
      <c r="C84" s="2" t="s">
        <v>37</v>
      </c>
      <c r="D84" s="2">
        <v>123.8</v>
      </c>
      <c r="E84" s="2">
        <v>128.19999999999999</v>
      </c>
      <c r="F84" s="2">
        <v>110</v>
      </c>
      <c r="G84" s="2">
        <v>126.3</v>
      </c>
      <c r="H84" s="2">
        <v>104.5</v>
      </c>
      <c r="I84" s="2">
        <v>130.6</v>
      </c>
      <c r="J84" s="2">
        <v>130.80000000000001</v>
      </c>
      <c r="K84" s="2">
        <v>131.30000000000001</v>
      </c>
      <c r="L84" s="2">
        <v>91.6</v>
      </c>
      <c r="M84" s="2">
        <v>127.7</v>
      </c>
      <c r="N84" s="2">
        <v>117.2</v>
      </c>
      <c r="O84" s="2">
        <v>129.5</v>
      </c>
      <c r="P84" s="2">
        <v>124.6</v>
      </c>
      <c r="Q84" s="2">
        <v>130.1</v>
      </c>
      <c r="R84" s="2">
        <v>122.1</v>
      </c>
      <c r="S84" s="2">
        <v>117.2</v>
      </c>
      <c r="T84" s="2">
        <v>121.3</v>
      </c>
      <c r="U84" s="2">
        <v>119.2</v>
      </c>
      <c r="V84" s="2">
        <v>114.7</v>
      </c>
      <c r="W84" s="2">
        <v>118.4</v>
      </c>
      <c r="X84" s="2">
        <v>114.6</v>
      </c>
      <c r="Y84" s="2">
        <v>108.4</v>
      </c>
      <c r="Z84" s="2">
        <v>115.6</v>
      </c>
      <c r="AA84" s="2">
        <v>121.7</v>
      </c>
      <c r="AB84" s="2">
        <v>111.8</v>
      </c>
      <c r="AC84" s="2">
        <v>114.2</v>
      </c>
      <c r="AD84" s="2">
        <v>119.7</v>
      </c>
    </row>
    <row r="85" spans="1:30" ht="14.4" x14ac:dyDescent="0.3">
      <c r="A85" s="2" t="s">
        <v>34</v>
      </c>
      <c r="B85" s="2">
        <v>2015</v>
      </c>
      <c r="C85" s="2" t="s">
        <v>37</v>
      </c>
      <c r="D85" s="2">
        <v>123.5</v>
      </c>
      <c r="E85" s="2">
        <v>126.4</v>
      </c>
      <c r="F85" s="2">
        <v>114.4</v>
      </c>
      <c r="G85" s="2">
        <v>126.6</v>
      </c>
      <c r="H85" s="2">
        <v>109.2</v>
      </c>
      <c r="I85" s="2">
        <v>132.5</v>
      </c>
      <c r="J85" s="2">
        <v>128.6</v>
      </c>
      <c r="K85" s="2">
        <v>124.8</v>
      </c>
      <c r="L85" s="2">
        <v>95.7</v>
      </c>
      <c r="M85" s="2">
        <v>122.4</v>
      </c>
      <c r="N85" s="2">
        <v>118.5</v>
      </c>
      <c r="O85" s="2">
        <v>129.1</v>
      </c>
      <c r="P85" s="2">
        <v>124</v>
      </c>
      <c r="Q85" s="2">
        <v>126.9</v>
      </c>
      <c r="R85" s="2">
        <v>124.7</v>
      </c>
      <c r="S85" s="2">
        <v>120.8</v>
      </c>
      <c r="T85" s="2">
        <v>124.1</v>
      </c>
      <c r="U85" s="2">
        <v>119.2</v>
      </c>
      <c r="V85" s="2">
        <v>118.7</v>
      </c>
      <c r="W85" s="2">
        <v>119.7</v>
      </c>
      <c r="X85" s="2">
        <v>117.1</v>
      </c>
      <c r="Y85" s="2">
        <v>110.1</v>
      </c>
      <c r="Z85" s="2">
        <v>115.9</v>
      </c>
      <c r="AA85" s="2">
        <v>121</v>
      </c>
      <c r="AB85" s="2">
        <v>111.7</v>
      </c>
      <c r="AC85" s="2">
        <v>115.1</v>
      </c>
      <c r="AD85" s="2">
        <v>120.7</v>
      </c>
    </row>
    <row r="86" spans="1:30" ht="14.4" x14ac:dyDescent="0.3">
      <c r="A86" s="2" t="s">
        <v>30</v>
      </c>
      <c r="B86" s="2">
        <v>2015</v>
      </c>
      <c r="C86" s="2" t="s">
        <v>38</v>
      </c>
      <c r="D86" s="2">
        <v>123.5</v>
      </c>
      <c r="E86" s="2">
        <v>127.1</v>
      </c>
      <c r="F86" s="2">
        <v>117.3</v>
      </c>
      <c r="G86" s="2">
        <v>127.7</v>
      </c>
      <c r="H86" s="2">
        <v>112.5</v>
      </c>
      <c r="I86" s="2">
        <v>134.1</v>
      </c>
      <c r="J86" s="2">
        <v>128.5</v>
      </c>
      <c r="K86" s="2">
        <v>124.3</v>
      </c>
      <c r="L86" s="2">
        <v>97.6</v>
      </c>
      <c r="M86" s="2">
        <v>120.7</v>
      </c>
      <c r="N86" s="2">
        <v>120.2</v>
      </c>
      <c r="O86" s="2">
        <v>129.80000000000001</v>
      </c>
      <c r="P86" s="2">
        <v>124.4</v>
      </c>
      <c r="Q86" s="2">
        <v>126.7</v>
      </c>
      <c r="R86" s="2">
        <v>127.3</v>
      </c>
      <c r="S86" s="2">
        <v>124.1</v>
      </c>
      <c r="T86" s="2">
        <v>126.8</v>
      </c>
      <c r="U86" s="2" t="s">
        <v>32</v>
      </c>
      <c r="V86" s="2">
        <v>121.9</v>
      </c>
      <c r="W86" s="2">
        <v>121.5</v>
      </c>
      <c r="X86" s="2">
        <v>119.4</v>
      </c>
      <c r="Y86" s="2">
        <v>113.3</v>
      </c>
      <c r="Z86" s="2">
        <v>116.7</v>
      </c>
      <c r="AA86" s="2">
        <v>120.5</v>
      </c>
      <c r="AB86" s="2">
        <v>112.3</v>
      </c>
      <c r="AC86" s="2">
        <v>116.9</v>
      </c>
      <c r="AD86" s="2">
        <v>122.4</v>
      </c>
    </row>
    <row r="87" spans="1:30" ht="14.4" x14ac:dyDescent="0.3">
      <c r="A87" s="2" t="s">
        <v>33</v>
      </c>
      <c r="B87" s="2">
        <v>2015</v>
      </c>
      <c r="C87" s="2" t="s">
        <v>38</v>
      </c>
      <c r="D87" s="2">
        <v>123.8</v>
      </c>
      <c r="E87" s="2">
        <v>129.69999999999999</v>
      </c>
      <c r="F87" s="2">
        <v>111.3</v>
      </c>
      <c r="G87" s="2">
        <v>126.6</v>
      </c>
      <c r="H87" s="2">
        <v>105.2</v>
      </c>
      <c r="I87" s="2">
        <v>130.80000000000001</v>
      </c>
      <c r="J87" s="2">
        <v>135.6</v>
      </c>
      <c r="K87" s="2">
        <v>142.6</v>
      </c>
      <c r="L87" s="2">
        <v>90.8</v>
      </c>
      <c r="M87" s="2">
        <v>128.80000000000001</v>
      </c>
      <c r="N87" s="2">
        <v>117.7</v>
      </c>
      <c r="O87" s="2">
        <v>129.9</v>
      </c>
      <c r="P87" s="2">
        <v>126.1</v>
      </c>
      <c r="Q87" s="2">
        <v>131.30000000000001</v>
      </c>
      <c r="R87" s="2">
        <v>122.4</v>
      </c>
      <c r="S87" s="2">
        <v>117.4</v>
      </c>
      <c r="T87" s="2">
        <v>121.6</v>
      </c>
      <c r="U87" s="2">
        <v>119.6</v>
      </c>
      <c r="V87" s="2">
        <v>114.9</v>
      </c>
      <c r="W87" s="2">
        <v>118.7</v>
      </c>
      <c r="X87" s="2">
        <v>114.9</v>
      </c>
      <c r="Y87" s="2">
        <v>110.8</v>
      </c>
      <c r="Z87" s="2">
        <v>116</v>
      </c>
      <c r="AA87" s="2">
        <v>122</v>
      </c>
      <c r="AB87" s="2">
        <v>112.4</v>
      </c>
      <c r="AC87" s="2">
        <v>115.2</v>
      </c>
      <c r="AD87" s="2">
        <v>120.7</v>
      </c>
    </row>
    <row r="88" spans="1:30" ht="14.4" x14ac:dyDescent="0.3">
      <c r="A88" s="2" t="s">
        <v>34</v>
      </c>
      <c r="B88" s="2">
        <v>2015</v>
      </c>
      <c r="C88" s="2" t="s">
        <v>38</v>
      </c>
      <c r="D88" s="2">
        <v>123.6</v>
      </c>
      <c r="E88" s="2">
        <v>128</v>
      </c>
      <c r="F88" s="2">
        <v>115</v>
      </c>
      <c r="G88" s="2">
        <v>127.3</v>
      </c>
      <c r="H88" s="2">
        <v>109.8</v>
      </c>
      <c r="I88" s="2">
        <v>132.6</v>
      </c>
      <c r="J88" s="2">
        <v>130.9</v>
      </c>
      <c r="K88" s="2">
        <v>130.5</v>
      </c>
      <c r="L88" s="2">
        <v>95.3</v>
      </c>
      <c r="M88" s="2">
        <v>123.4</v>
      </c>
      <c r="N88" s="2">
        <v>119.2</v>
      </c>
      <c r="O88" s="2">
        <v>129.80000000000001</v>
      </c>
      <c r="P88" s="2">
        <v>125</v>
      </c>
      <c r="Q88" s="2">
        <v>127.9</v>
      </c>
      <c r="R88" s="2">
        <v>125.4</v>
      </c>
      <c r="S88" s="2">
        <v>121.3</v>
      </c>
      <c r="T88" s="2">
        <v>124.7</v>
      </c>
      <c r="U88" s="2">
        <v>119.6</v>
      </c>
      <c r="V88" s="2">
        <v>119.2</v>
      </c>
      <c r="W88" s="2">
        <v>120.2</v>
      </c>
      <c r="X88" s="2">
        <v>117.7</v>
      </c>
      <c r="Y88" s="2">
        <v>112</v>
      </c>
      <c r="Z88" s="2">
        <v>116.3</v>
      </c>
      <c r="AA88" s="2">
        <v>121.4</v>
      </c>
      <c r="AB88" s="2">
        <v>112.3</v>
      </c>
      <c r="AC88" s="2">
        <v>116.1</v>
      </c>
      <c r="AD88" s="2">
        <v>121.6</v>
      </c>
    </row>
    <row r="89" spans="1:30" ht="14.4" x14ac:dyDescent="0.3">
      <c r="A89" s="2" t="s">
        <v>30</v>
      </c>
      <c r="B89" s="2">
        <v>2015</v>
      </c>
      <c r="C89" s="2" t="s">
        <v>39</v>
      </c>
      <c r="D89" s="2">
        <v>124.1</v>
      </c>
      <c r="E89" s="2">
        <v>130.4</v>
      </c>
      <c r="F89" s="2">
        <v>122.1</v>
      </c>
      <c r="G89" s="2">
        <v>128.69999999999999</v>
      </c>
      <c r="H89" s="2">
        <v>114.1</v>
      </c>
      <c r="I89" s="2">
        <v>133.19999999999999</v>
      </c>
      <c r="J89" s="2">
        <v>135.19999999999999</v>
      </c>
      <c r="K89" s="2">
        <v>131.9</v>
      </c>
      <c r="L89" s="2">
        <v>96.3</v>
      </c>
      <c r="M89" s="2">
        <v>123</v>
      </c>
      <c r="N89" s="2">
        <v>121.1</v>
      </c>
      <c r="O89" s="2">
        <v>131.19999999999999</v>
      </c>
      <c r="P89" s="2">
        <v>126.6</v>
      </c>
      <c r="Q89" s="2">
        <v>128.19999999999999</v>
      </c>
      <c r="R89" s="2">
        <v>128.4</v>
      </c>
      <c r="S89" s="2">
        <v>125.1</v>
      </c>
      <c r="T89" s="2">
        <v>128</v>
      </c>
      <c r="U89" s="2" t="s">
        <v>32</v>
      </c>
      <c r="V89" s="2">
        <v>122.6</v>
      </c>
      <c r="W89" s="2">
        <v>122.8</v>
      </c>
      <c r="X89" s="2">
        <v>120.4</v>
      </c>
      <c r="Y89" s="2">
        <v>114.2</v>
      </c>
      <c r="Z89" s="2">
        <v>117.9</v>
      </c>
      <c r="AA89" s="2">
        <v>122</v>
      </c>
      <c r="AB89" s="2">
        <v>113</v>
      </c>
      <c r="AC89" s="2">
        <v>117.9</v>
      </c>
      <c r="AD89" s="2">
        <v>124.1</v>
      </c>
    </row>
    <row r="90" spans="1:30" ht="14.4" x14ac:dyDescent="0.3">
      <c r="A90" s="2" t="s">
        <v>33</v>
      </c>
      <c r="B90" s="2">
        <v>2015</v>
      </c>
      <c r="C90" s="2" t="s">
        <v>39</v>
      </c>
      <c r="D90" s="2">
        <v>123.6</v>
      </c>
      <c r="E90" s="2">
        <v>134.4</v>
      </c>
      <c r="F90" s="2">
        <v>120.9</v>
      </c>
      <c r="G90" s="2">
        <v>127.3</v>
      </c>
      <c r="H90" s="2">
        <v>106</v>
      </c>
      <c r="I90" s="2">
        <v>132.30000000000001</v>
      </c>
      <c r="J90" s="2">
        <v>146.69999999999999</v>
      </c>
      <c r="K90" s="2">
        <v>148.1</v>
      </c>
      <c r="L90" s="2">
        <v>89.8</v>
      </c>
      <c r="M90" s="2">
        <v>130.5</v>
      </c>
      <c r="N90" s="2">
        <v>118</v>
      </c>
      <c r="O90" s="2">
        <v>130.5</v>
      </c>
      <c r="P90" s="2">
        <v>128.5</v>
      </c>
      <c r="Q90" s="2">
        <v>132.1</v>
      </c>
      <c r="R90" s="2">
        <v>123.2</v>
      </c>
      <c r="S90" s="2">
        <v>117.6</v>
      </c>
      <c r="T90" s="2">
        <v>122.3</v>
      </c>
      <c r="U90" s="2">
        <v>119</v>
      </c>
      <c r="V90" s="2">
        <v>115.1</v>
      </c>
      <c r="W90" s="2">
        <v>119.2</v>
      </c>
      <c r="X90" s="2">
        <v>115.4</v>
      </c>
      <c r="Y90" s="2">
        <v>111.7</v>
      </c>
      <c r="Z90" s="2">
        <v>116.2</v>
      </c>
      <c r="AA90" s="2">
        <v>123.8</v>
      </c>
      <c r="AB90" s="2">
        <v>112.5</v>
      </c>
      <c r="AC90" s="2">
        <v>116</v>
      </c>
      <c r="AD90" s="2">
        <v>121.7</v>
      </c>
    </row>
    <row r="91" spans="1:30" ht="14.4" x14ac:dyDescent="0.3">
      <c r="A91" s="2" t="s">
        <v>34</v>
      </c>
      <c r="B91" s="2">
        <v>2015</v>
      </c>
      <c r="C91" s="2" t="s">
        <v>39</v>
      </c>
      <c r="D91" s="2">
        <v>123.9</v>
      </c>
      <c r="E91" s="2">
        <v>131.80000000000001</v>
      </c>
      <c r="F91" s="2">
        <v>121.6</v>
      </c>
      <c r="G91" s="2">
        <v>128.19999999999999</v>
      </c>
      <c r="H91" s="2">
        <v>111.1</v>
      </c>
      <c r="I91" s="2">
        <v>132.80000000000001</v>
      </c>
      <c r="J91" s="2">
        <v>139.1</v>
      </c>
      <c r="K91" s="2">
        <v>137.4</v>
      </c>
      <c r="L91" s="2">
        <v>94.1</v>
      </c>
      <c r="M91" s="2">
        <v>125.5</v>
      </c>
      <c r="N91" s="2">
        <v>119.8</v>
      </c>
      <c r="O91" s="2">
        <v>130.9</v>
      </c>
      <c r="P91" s="2">
        <v>127.3</v>
      </c>
      <c r="Q91" s="2">
        <v>129.19999999999999</v>
      </c>
      <c r="R91" s="2">
        <v>126.4</v>
      </c>
      <c r="S91" s="2">
        <v>122</v>
      </c>
      <c r="T91" s="2">
        <v>125.7</v>
      </c>
      <c r="U91" s="2">
        <v>119</v>
      </c>
      <c r="V91" s="2">
        <v>119.8</v>
      </c>
      <c r="W91" s="2">
        <v>121.1</v>
      </c>
      <c r="X91" s="2">
        <v>118.5</v>
      </c>
      <c r="Y91" s="2">
        <v>112.9</v>
      </c>
      <c r="Z91" s="2">
        <v>116.9</v>
      </c>
      <c r="AA91" s="2">
        <v>123.1</v>
      </c>
      <c r="AB91" s="2">
        <v>112.8</v>
      </c>
      <c r="AC91" s="2">
        <v>117</v>
      </c>
      <c r="AD91" s="2">
        <v>123</v>
      </c>
    </row>
    <row r="92" spans="1:30" ht="14.4" x14ac:dyDescent="0.3">
      <c r="A92" s="2" t="s">
        <v>30</v>
      </c>
      <c r="B92" s="2">
        <v>2015</v>
      </c>
      <c r="C92" s="2" t="s">
        <v>40</v>
      </c>
      <c r="D92" s="2">
        <v>124</v>
      </c>
      <c r="E92" s="2">
        <v>131.5</v>
      </c>
      <c r="F92" s="2">
        <v>122</v>
      </c>
      <c r="G92" s="2">
        <v>128.69999999999999</v>
      </c>
      <c r="H92" s="2">
        <v>113.5</v>
      </c>
      <c r="I92" s="2">
        <v>133.30000000000001</v>
      </c>
      <c r="J92" s="2">
        <v>140.80000000000001</v>
      </c>
      <c r="K92" s="2">
        <v>133.80000000000001</v>
      </c>
      <c r="L92" s="2">
        <v>94.1</v>
      </c>
      <c r="M92" s="2">
        <v>123.4</v>
      </c>
      <c r="N92" s="2">
        <v>121</v>
      </c>
      <c r="O92" s="2">
        <v>131.69999999999999</v>
      </c>
      <c r="P92" s="2">
        <v>127.5</v>
      </c>
      <c r="Q92" s="2">
        <v>129.4</v>
      </c>
      <c r="R92" s="2">
        <v>128.80000000000001</v>
      </c>
      <c r="S92" s="2">
        <v>125.5</v>
      </c>
      <c r="T92" s="2">
        <v>128.30000000000001</v>
      </c>
      <c r="U92" s="2" t="s">
        <v>32</v>
      </c>
      <c r="V92" s="2">
        <v>123</v>
      </c>
      <c r="W92" s="2">
        <v>123</v>
      </c>
      <c r="X92" s="2">
        <v>120.8</v>
      </c>
      <c r="Y92" s="2">
        <v>114.1</v>
      </c>
      <c r="Z92" s="2">
        <v>118</v>
      </c>
      <c r="AA92" s="2">
        <v>122.9</v>
      </c>
      <c r="AB92" s="2">
        <v>112.7</v>
      </c>
      <c r="AC92" s="2">
        <v>118.1</v>
      </c>
      <c r="AD92" s="2">
        <v>124.7</v>
      </c>
    </row>
    <row r="93" spans="1:30" ht="14.4" x14ac:dyDescent="0.3">
      <c r="A93" s="2" t="s">
        <v>33</v>
      </c>
      <c r="B93" s="2">
        <v>2015</v>
      </c>
      <c r="C93" s="2" t="s">
        <v>40</v>
      </c>
      <c r="D93" s="2">
        <v>123.2</v>
      </c>
      <c r="E93" s="2">
        <v>134.30000000000001</v>
      </c>
      <c r="F93" s="2">
        <v>119.5</v>
      </c>
      <c r="G93" s="2">
        <v>127.7</v>
      </c>
      <c r="H93" s="2">
        <v>106.3</v>
      </c>
      <c r="I93" s="2">
        <v>132.80000000000001</v>
      </c>
      <c r="J93" s="2">
        <v>153.5</v>
      </c>
      <c r="K93" s="2">
        <v>149.5</v>
      </c>
      <c r="L93" s="2">
        <v>85.7</v>
      </c>
      <c r="M93" s="2">
        <v>131.5</v>
      </c>
      <c r="N93" s="2">
        <v>118.3</v>
      </c>
      <c r="O93" s="2">
        <v>131.1</v>
      </c>
      <c r="P93" s="2">
        <v>129.5</v>
      </c>
      <c r="Q93" s="2">
        <v>133.1</v>
      </c>
      <c r="R93" s="2">
        <v>123.5</v>
      </c>
      <c r="S93" s="2">
        <v>117.9</v>
      </c>
      <c r="T93" s="2">
        <v>122.7</v>
      </c>
      <c r="U93" s="2">
        <v>119.9</v>
      </c>
      <c r="V93" s="2">
        <v>115.3</v>
      </c>
      <c r="W93" s="2">
        <v>119.5</v>
      </c>
      <c r="X93" s="2">
        <v>116</v>
      </c>
      <c r="Y93" s="2">
        <v>111.5</v>
      </c>
      <c r="Z93" s="2">
        <v>116.6</v>
      </c>
      <c r="AA93" s="2">
        <v>125.4</v>
      </c>
      <c r="AB93" s="2">
        <v>111.7</v>
      </c>
      <c r="AC93" s="2">
        <v>116.3</v>
      </c>
      <c r="AD93" s="2">
        <v>122.4</v>
      </c>
    </row>
    <row r="94" spans="1:30" ht="14.4" x14ac:dyDescent="0.3">
      <c r="A94" s="2" t="s">
        <v>34</v>
      </c>
      <c r="B94" s="2">
        <v>2015</v>
      </c>
      <c r="C94" s="2" t="s">
        <v>40</v>
      </c>
      <c r="D94" s="2">
        <v>123.7</v>
      </c>
      <c r="E94" s="2">
        <v>132.5</v>
      </c>
      <c r="F94" s="2">
        <v>121</v>
      </c>
      <c r="G94" s="2">
        <v>128.30000000000001</v>
      </c>
      <c r="H94" s="2">
        <v>110.9</v>
      </c>
      <c r="I94" s="2">
        <v>133.1</v>
      </c>
      <c r="J94" s="2">
        <v>145.1</v>
      </c>
      <c r="K94" s="2">
        <v>139.1</v>
      </c>
      <c r="L94" s="2">
        <v>91.3</v>
      </c>
      <c r="M94" s="2">
        <v>126.1</v>
      </c>
      <c r="N94" s="2">
        <v>119.9</v>
      </c>
      <c r="O94" s="2">
        <v>131.4</v>
      </c>
      <c r="P94" s="2">
        <v>128.19999999999999</v>
      </c>
      <c r="Q94" s="2">
        <v>130.4</v>
      </c>
      <c r="R94" s="2">
        <v>126.7</v>
      </c>
      <c r="S94" s="2">
        <v>122.3</v>
      </c>
      <c r="T94" s="2">
        <v>126.1</v>
      </c>
      <c r="U94" s="2">
        <v>119.9</v>
      </c>
      <c r="V94" s="2">
        <v>120.1</v>
      </c>
      <c r="W94" s="2">
        <v>121.3</v>
      </c>
      <c r="X94" s="2">
        <v>119</v>
      </c>
      <c r="Y94" s="2">
        <v>112.7</v>
      </c>
      <c r="Z94" s="2">
        <v>117.2</v>
      </c>
      <c r="AA94" s="2">
        <v>124.4</v>
      </c>
      <c r="AB94" s="2">
        <v>112.3</v>
      </c>
      <c r="AC94" s="2">
        <v>117.2</v>
      </c>
      <c r="AD94" s="2">
        <v>123.6</v>
      </c>
    </row>
    <row r="95" spans="1:30" ht="14.4" x14ac:dyDescent="0.3">
      <c r="A95" s="2" t="s">
        <v>30</v>
      </c>
      <c r="B95" s="2">
        <v>2015</v>
      </c>
      <c r="C95" s="2" t="s">
        <v>41</v>
      </c>
      <c r="D95" s="2">
        <v>124.7</v>
      </c>
      <c r="E95" s="2">
        <v>131.30000000000001</v>
      </c>
      <c r="F95" s="2">
        <v>121.3</v>
      </c>
      <c r="G95" s="2">
        <v>128.80000000000001</v>
      </c>
      <c r="H95" s="2">
        <v>114</v>
      </c>
      <c r="I95" s="2">
        <v>134.19999999999999</v>
      </c>
      <c r="J95" s="2">
        <v>153.6</v>
      </c>
      <c r="K95" s="2">
        <v>137.9</v>
      </c>
      <c r="L95" s="2">
        <v>93.1</v>
      </c>
      <c r="M95" s="2">
        <v>123.9</v>
      </c>
      <c r="N95" s="2">
        <v>121.5</v>
      </c>
      <c r="O95" s="2">
        <v>132.5</v>
      </c>
      <c r="P95" s="2">
        <v>129.80000000000001</v>
      </c>
      <c r="Q95" s="2">
        <v>130.1</v>
      </c>
      <c r="R95" s="2">
        <v>129.5</v>
      </c>
      <c r="S95" s="2">
        <v>126.3</v>
      </c>
      <c r="T95" s="2">
        <v>129</v>
      </c>
      <c r="U95" s="2" t="s">
        <v>32</v>
      </c>
      <c r="V95" s="2">
        <v>123.8</v>
      </c>
      <c r="W95" s="2">
        <v>123.7</v>
      </c>
      <c r="X95" s="2">
        <v>121.1</v>
      </c>
      <c r="Y95" s="2">
        <v>113.6</v>
      </c>
      <c r="Z95" s="2">
        <v>118.5</v>
      </c>
      <c r="AA95" s="2">
        <v>123.6</v>
      </c>
      <c r="AB95" s="2">
        <v>112.5</v>
      </c>
      <c r="AC95" s="2">
        <v>118.2</v>
      </c>
      <c r="AD95" s="2">
        <v>126.1</v>
      </c>
    </row>
    <row r="96" spans="1:30" ht="14.4" x14ac:dyDescent="0.3">
      <c r="A96" s="2" t="s">
        <v>33</v>
      </c>
      <c r="B96" s="2">
        <v>2015</v>
      </c>
      <c r="C96" s="2" t="s">
        <v>41</v>
      </c>
      <c r="D96" s="2">
        <v>123.1</v>
      </c>
      <c r="E96" s="2">
        <v>131.69999999999999</v>
      </c>
      <c r="F96" s="2">
        <v>118.1</v>
      </c>
      <c r="G96" s="2">
        <v>128</v>
      </c>
      <c r="H96" s="2">
        <v>106.8</v>
      </c>
      <c r="I96" s="2">
        <v>130.1</v>
      </c>
      <c r="J96" s="2">
        <v>165.5</v>
      </c>
      <c r="K96" s="2">
        <v>156</v>
      </c>
      <c r="L96" s="2">
        <v>85.3</v>
      </c>
      <c r="M96" s="2">
        <v>132.69999999999999</v>
      </c>
      <c r="N96" s="2">
        <v>118.8</v>
      </c>
      <c r="O96" s="2">
        <v>131.69999999999999</v>
      </c>
      <c r="P96" s="2">
        <v>131.1</v>
      </c>
      <c r="Q96" s="2">
        <v>134.19999999999999</v>
      </c>
      <c r="R96" s="2">
        <v>123.7</v>
      </c>
      <c r="S96" s="2">
        <v>118.2</v>
      </c>
      <c r="T96" s="2">
        <v>122.9</v>
      </c>
      <c r="U96" s="2">
        <v>120.9</v>
      </c>
      <c r="V96" s="2">
        <v>115.3</v>
      </c>
      <c r="W96" s="2">
        <v>120</v>
      </c>
      <c r="X96" s="2">
        <v>116.6</v>
      </c>
      <c r="Y96" s="2">
        <v>109.9</v>
      </c>
      <c r="Z96" s="2">
        <v>117.2</v>
      </c>
      <c r="AA96" s="2">
        <v>126.2</v>
      </c>
      <c r="AB96" s="2">
        <v>112</v>
      </c>
      <c r="AC96" s="2">
        <v>116.2</v>
      </c>
      <c r="AD96" s="2">
        <v>123.2</v>
      </c>
    </row>
    <row r="97" spans="1:30" ht="14.4" x14ac:dyDescent="0.3">
      <c r="A97" s="2" t="s">
        <v>34</v>
      </c>
      <c r="B97" s="2">
        <v>2015</v>
      </c>
      <c r="C97" s="2" t="s">
        <v>41</v>
      </c>
      <c r="D97" s="2">
        <v>124.2</v>
      </c>
      <c r="E97" s="2">
        <v>131.4</v>
      </c>
      <c r="F97" s="2">
        <v>120.1</v>
      </c>
      <c r="G97" s="2">
        <v>128.5</v>
      </c>
      <c r="H97" s="2">
        <v>111.4</v>
      </c>
      <c r="I97" s="2">
        <v>132.30000000000001</v>
      </c>
      <c r="J97" s="2">
        <v>157.6</v>
      </c>
      <c r="K97" s="2">
        <v>144</v>
      </c>
      <c r="L97" s="2">
        <v>90.5</v>
      </c>
      <c r="M97" s="2">
        <v>126.8</v>
      </c>
      <c r="N97" s="2">
        <v>120.4</v>
      </c>
      <c r="O97" s="2">
        <v>132.1</v>
      </c>
      <c r="P97" s="2">
        <v>130.30000000000001</v>
      </c>
      <c r="Q97" s="2">
        <v>131.19999999999999</v>
      </c>
      <c r="R97" s="2">
        <v>127.2</v>
      </c>
      <c r="S97" s="2">
        <v>122.9</v>
      </c>
      <c r="T97" s="2">
        <v>126.6</v>
      </c>
      <c r="U97" s="2">
        <v>120.9</v>
      </c>
      <c r="V97" s="2">
        <v>120.6</v>
      </c>
      <c r="W97" s="2">
        <v>122</v>
      </c>
      <c r="X97" s="2">
        <v>119.4</v>
      </c>
      <c r="Y97" s="2">
        <v>111.7</v>
      </c>
      <c r="Z97" s="2">
        <v>117.8</v>
      </c>
      <c r="AA97" s="2">
        <v>125.1</v>
      </c>
      <c r="AB97" s="2">
        <v>112.3</v>
      </c>
      <c r="AC97" s="2">
        <v>117.2</v>
      </c>
      <c r="AD97" s="2">
        <v>124.8</v>
      </c>
    </row>
    <row r="98" spans="1:30" ht="14.4" x14ac:dyDescent="0.3">
      <c r="A98" s="2" t="s">
        <v>30</v>
      </c>
      <c r="B98" s="2">
        <v>2015</v>
      </c>
      <c r="C98" s="2" t="s">
        <v>42</v>
      </c>
      <c r="D98" s="2">
        <v>125.1</v>
      </c>
      <c r="E98" s="2">
        <v>131.1</v>
      </c>
      <c r="F98" s="2">
        <v>120.7</v>
      </c>
      <c r="G98" s="2">
        <v>129.19999999999999</v>
      </c>
      <c r="H98" s="2">
        <v>114.7</v>
      </c>
      <c r="I98" s="2">
        <v>132.30000000000001</v>
      </c>
      <c r="J98" s="2">
        <v>158.9</v>
      </c>
      <c r="K98" s="2">
        <v>142.1</v>
      </c>
      <c r="L98" s="2">
        <v>92.5</v>
      </c>
      <c r="M98" s="2">
        <v>125.4</v>
      </c>
      <c r="N98" s="2">
        <v>121.9</v>
      </c>
      <c r="O98" s="2">
        <v>132.69999999999999</v>
      </c>
      <c r="P98" s="2">
        <v>131</v>
      </c>
      <c r="Q98" s="2">
        <v>131</v>
      </c>
      <c r="R98" s="2">
        <v>130.4</v>
      </c>
      <c r="S98" s="2">
        <v>126.8</v>
      </c>
      <c r="T98" s="2">
        <v>129.9</v>
      </c>
      <c r="U98" s="2" t="s">
        <v>32</v>
      </c>
      <c r="V98" s="2">
        <v>123.7</v>
      </c>
      <c r="W98" s="2">
        <v>124.5</v>
      </c>
      <c r="X98" s="2">
        <v>121.4</v>
      </c>
      <c r="Y98" s="2">
        <v>113.8</v>
      </c>
      <c r="Z98" s="2">
        <v>119.6</v>
      </c>
      <c r="AA98" s="2">
        <v>124.5</v>
      </c>
      <c r="AB98" s="2">
        <v>113.7</v>
      </c>
      <c r="AC98" s="2">
        <v>118.8</v>
      </c>
      <c r="AD98" s="2">
        <v>127</v>
      </c>
    </row>
    <row r="99" spans="1:30" ht="14.4" x14ac:dyDescent="0.3">
      <c r="A99" s="2" t="s">
        <v>33</v>
      </c>
      <c r="B99" s="2">
        <v>2015</v>
      </c>
      <c r="C99" s="2" t="s">
        <v>42</v>
      </c>
      <c r="D99" s="2">
        <v>123.4</v>
      </c>
      <c r="E99" s="2">
        <v>129</v>
      </c>
      <c r="F99" s="2">
        <v>115.6</v>
      </c>
      <c r="G99" s="2">
        <v>128.30000000000001</v>
      </c>
      <c r="H99" s="2">
        <v>107</v>
      </c>
      <c r="I99" s="2">
        <v>124</v>
      </c>
      <c r="J99" s="2">
        <v>168.5</v>
      </c>
      <c r="K99" s="2">
        <v>165.4</v>
      </c>
      <c r="L99" s="2">
        <v>86.3</v>
      </c>
      <c r="M99" s="2">
        <v>134.4</v>
      </c>
      <c r="N99" s="2">
        <v>119.1</v>
      </c>
      <c r="O99" s="2">
        <v>132.30000000000001</v>
      </c>
      <c r="P99" s="2">
        <v>131.5</v>
      </c>
      <c r="Q99" s="2">
        <v>134.69999999999999</v>
      </c>
      <c r="R99" s="2">
        <v>124</v>
      </c>
      <c r="S99" s="2">
        <v>118.6</v>
      </c>
      <c r="T99" s="2">
        <v>123.2</v>
      </c>
      <c r="U99" s="2">
        <v>121.6</v>
      </c>
      <c r="V99" s="2">
        <v>115.1</v>
      </c>
      <c r="W99" s="2">
        <v>120.4</v>
      </c>
      <c r="X99" s="2">
        <v>117.1</v>
      </c>
      <c r="Y99" s="2">
        <v>109.1</v>
      </c>
      <c r="Z99" s="2">
        <v>117.3</v>
      </c>
      <c r="AA99" s="2">
        <v>126.5</v>
      </c>
      <c r="AB99" s="2">
        <v>112.9</v>
      </c>
      <c r="AC99" s="2">
        <v>116.2</v>
      </c>
      <c r="AD99" s="2">
        <v>123.5</v>
      </c>
    </row>
    <row r="100" spans="1:30" ht="14.4" x14ac:dyDescent="0.3">
      <c r="A100" s="2" t="s">
        <v>34</v>
      </c>
      <c r="B100" s="2">
        <v>2015</v>
      </c>
      <c r="C100" s="2" t="s">
        <v>42</v>
      </c>
      <c r="D100" s="2">
        <v>124.6</v>
      </c>
      <c r="E100" s="2">
        <v>130.4</v>
      </c>
      <c r="F100" s="2">
        <v>118.7</v>
      </c>
      <c r="G100" s="2">
        <v>128.9</v>
      </c>
      <c r="H100" s="2">
        <v>111.9</v>
      </c>
      <c r="I100" s="2">
        <v>128.4</v>
      </c>
      <c r="J100" s="2">
        <v>162.19999999999999</v>
      </c>
      <c r="K100" s="2">
        <v>150</v>
      </c>
      <c r="L100" s="2">
        <v>90.4</v>
      </c>
      <c r="M100" s="2">
        <v>128.4</v>
      </c>
      <c r="N100" s="2">
        <v>120.7</v>
      </c>
      <c r="O100" s="2">
        <v>132.5</v>
      </c>
      <c r="P100" s="2">
        <v>131.19999999999999</v>
      </c>
      <c r="Q100" s="2">
        <v>132</v>
      </c>
      <c r="R100" s="2">
        <v>127.9</v>
      </c>
      <c r="S100" s="2">
        <v>123.4</v>
      </c>
      <c r="T100" s="2">
        <v>127.2</v>
      </c>
      <c r="U100" s="2">
        <v>121.6</v>
      </c>
      <c r="V100" s="2">
        <v>120.4</v>
      </c>
      <c r="W100" s="2">
        <v>122.6</v>
      </c>
      <c r="X100" s="2">
        <v>119.8</v>
      </c>
      <c r="Y100" s="2">
        <v>111.3</v>
      </c>
      <c r="Z100" s="2">
        <v>118.3</v>
      </c>
      <c r="AA100" s="2">
        <v>125.7</v>
      </c>
      <c r="AB100" s="2">
        <v>113.4</v>
      </c>
      <c r="AC100" s="2">
        <v>117.5</v>
      </c>
      <c r="AD100" s="2">
        <v>125.4</v>
      </c>
    </row>
    <row r="101" spans="1:30" ht="14.4" x14ac:dyDescent="0.3">
      <c r="A101" s="2" t="s">
        <v>30</v>
      </c>
      <c r="B101" s="2">
        <v>2015</v>
      </c>
      <c r="C101" s="2" t="s">
        <v>43</v>
      </c>
      <c r="D101" s="2">
        <v>125.6</v>
      </c>
      <c r="E101" s="2">
        <v>130.4</v>
      </c>
      <c r="F101" s="2">
        <v>120.8</v>
      </c>
      <c r="G101" s="2">
        <v>129.4</v>
      </c>
      <c r="H101" s="2">
        <v>115.8</v>
      </c>
      <c r="I101" s="2">
        <v>133.19999999999999</v>
      </c>
      <c r="J101" s="2">
        <v>157.69999999999999</v>
      </c>
      <c r="K101" s="2">
        <v>154.19999999999999</v>
      </c>
      <c r="L101" s="2">
        <v>93.7</v>
      </c>
      <c r="M101" s="2">
        <v>126.6</v>
      </c>
      <c r="N101" s="2">
        <v>122.3</v>
      </c>
      <c r="O101" s="2">
        <v>133.1</v>
      </c>
      <c r="P101" s="2">
        <v>131.80000000000001</v>
      </c>
      <c r="Q101" s="2">
        <v>131.5</v>
      </c>
      <c r="R101" s="2">
        <v>131.1</v>
      </c>
      <c r="S101" s="2">
        <v>127.3</v>
      </c>
      <c r="T101" s="2">
        <v>130.6</v>
      </c>
      <c r="U101" s="2" t="s">
        <v>32</v>
      </c>
      <c r="V101" s="2">
        <v>124.4</v>
      </c>
      <c r="W101" s="2">
        <v>125.1</v>
      </c>
      <c r="X101" s="2">
        <v>122</v>
      </c>
      <c r="Y101" s="2">
        <v>113.8</v>
      </c>
      <c r="Z101" s="2">
        <v>120.1</v>
      </c>
      <c r="AA101" s="2">
        <v>125.1</v>
      </c>
      <c r="AB101" s="2">
        <v>114.2</v>
      </c>
      <c r="AC101" s="2">
        <v>119.2</v>
      </c>
      <c r="AD101" s="2">
        <v>127.7</v>
      </c>
    </row>
    <row r="102" spans="1:30" ht="14.4" x14ac:dyDescent="0.3">
      <c r="A102" s="2" t="s">
        <v>33</v>
      </c>
      <c r="B102" s="2">
        <v>2015</v>
      </c>
      <c r="C102" s="2" t="s">
        <v>43</v>
      </c>
      <c r="D102" s="2">
        <v>123.6</v>
      </c>
      <c r="E102" s="2">
        <v>128.6</v>
      </c>
      <c r="F102" s="2">
        <v>115.9</v>
      </c>
      <c r="G102" s="2">
        <v>128.5</v>
      </c>
      <c r="H102" s="2">
        <v>109</v>
      </c>
      <c r="I102" s="2">
        <v>124.1</v>
      </c>
      <c r="J102" s="2">
        <v>165.8</v>
      </c>
      <c r="K102" s="2">
        <v>187.2</v>
      </c>
      <c r="L102" s="2">
        <v>89.4</v>
      </c>
      <c r="M102" s="2">
        <v>135.80000000000001</v>
      </c>
      <c r="N102" s="2">
        <v>119.4</v>
      </c>
      <c r="O102" s="2">
        <v>132.9</v>
      </c>
      <c r="P102" s="2">
        <v>132.6</v>
      </c>
      <c r="Q102" s="2">
        <v>135.30000000000001</v>
      </c>
      <c r="R102" s="2">
        <v>124.4</v>
      </c>
      <c r="S102" s="2">
        <v>118.8</v>
      </c>
      <c r="T102" s="2">
        <v>123.6</v>
      </c>
      <c r="U102" s="2">
        <v>122.4</v>
      </c>
      <c r="V102" s="2">
        <v>114.9</v>
      </c>
      <c r="W102" s="2">
        <v>120.7</v>
      </c>
      <c r="X102" s="2">
        <v>117.7</v>
      </c>
      <c r="Y102" s="2">
        <v>109.3</v>
      </c>
      <c r="Z102" s="2">
        <v>117.7</v>
      </c>
      <c r="AA102" s="2">
        <v>126.5</v>
      </c>
      <c r="AB102" s="2">
        <v>113.5</v>
      </c>
      <c r="AC102" s="2">
        <v>116.5</v>
      </c>
      <c r="AD102" s="2">
        <v>124.2</v>
      </c>
    </row>
    <row r="103" spans="1:30" ht="14.4" x14ac:dyDescent="0.3">
      <c r="A103" s="2" t="s">
        <v>34</v>
      </c>
      <c r="B103" s="2">
        <v>2015</v>
      </c>
      <c r="C103" s="2" t="s">
        <v>43</v>
      </c>
      <c r="D103" s="2">
        <v>125</v>
      </c>
      <c r="E103" s="2">
        <v>129.80000000000001</v>
      </c>
      <c r="F103" s="2">
        <v>118.9</v>
      </c>
      <c r="G103" s="2">
        <v>129.1</v>
      </c>
      <c r="H103" s="2">
        <v>113.3</v>
      </c>
      <c r="I103" s="2">
        <v>129</v>
      </c>
      <c r="J103" s="2">
        <v>160.4</v>
      </c>
      <c r="K103" s="2">
        <v>165.3</v>
      </c>
      <c r="L103" s="2">
        <v>92.3</v>
      </c>
      <c r="M103" s="2">
        <v>129.69999999999999</v>
      </c>
      <c r="N103" s="2">
        <v>121.1</v>
      </c>
      <c r="O103" s="2">
        <v>133</v>
      </c>
      <c r="P103" s="2">
        <v>132.1</v>
      </c>
      <c r="Q103" s="2">
        <v>132.5</v>
      </c>
      <c r="R103" s="2">
        <v>128.5</v>
      </c>
      <c r="S103" s="2">
        <v>123.8</v>
      </c>
      <c r="T103" s="2">
        <v>127.8</v>
      </c>
      <c r="U103" s="2">
        <v>122.4</v>
      </c>
      <c r="V103" s="2">
        <v>120.8</v>
      </c>
      <c r="W103" s="2">
        <v>123</v>
      </c>
      <c r="X103" s="2">
        <v>120.4</v>
      </c>
      <c r="Y103" s="2">
        <v>111.4</v>
      </c>
      <c r="Z103" s="2">
        <v>118.7</v>
      </c>
      <c r="AA103" s="2">
        <v>125.9</v>
      </c>
      <c r="AB103" s="2">
        <v>113.9</v>
      </c>
      <c r="AC103" s="2">
        <v>117.9</v>
      </c>
      <c r="AD103" s="2">
        <v>126.1</v>
      </c>
    </row>
    <row r="104" spans="1:30" ht="14.4" x14ac:dyDescent="0.3">
      <c r="A104" s="2" t="s">
        <v>30</v>
      </c>
      <c r="B104" s="2">
        <v>2015</v>
      </c>
      <c r="C104" s="2" t="s">
        <v>44</v>
      </c>
      <c r="D104" s="2">
        <v>126.1</v>
      </c>
      <c r="E104" s="2">
        <v>130.6</v>
      </c>
      <c r="F104" s="2">
        <v>121.7</v>
      </c>
      <c r="G104" s="2">
        <v>129.5</v>
      </c>
      <c r="H104" s="2">
        <v>117.8</v>
      </c>
      <c r="I104" s="2">
        <v>132.1</v>
      </c>
      <c r="J104" s="2">
        <v>155.19999999999999</v>
      </c>
      <c r="K104" s="2">
        <v>160.80000000000001</v>
      </c>
      <c r="L104" s="2">
        <v>94.5</v>
      </c>
      <c r="M104" s="2">
        <v>128.30000000000001</v>
      </c>
      <c r="N104" s="2">
        <v>123.1</v>
      </c>
      <c r="O104" s="2">
        <v>134.19999999999999</v>
      </c>
      <c r="P104" s="2">
        <v>132.4</v>
      </c>
      <c r="Q104" s="2">
        <v>132.19999999999999</v>
      </c>
      <c r="R104" s="2">
        <v>132.1</v>
      </c>
      <c r="S104" s="2">
        <v>128.19999999999999</v>
      </c>
      <c r="T104" s="2">
        <v>131.5</v>
      </c>
      <c r="U104" s="2" t="s">
        <v>32</v>
      </c>
      <c r="V104" s="2">
        <v>125.6</v>
      </c>
      <c r="W104" s="2">
        <v>125.6</v>
      </c>
      <c r="X104" s="2">
        <v>122.6</v>
      </c>
      <c r="Y104" s="2">
        <v>114</v>
      </c>
      <c r="Z104" s="2">
        <v>120.9</v>
      </c>
      <c r="AA104" s="2">
        <v>125.8</v>
      </c>
      <c r="AB104" s="2">
        <v>114.2</v>
      </c>
      <c r="AC104" s="2">
        <v>119.6</v>
      </c>
      <c r="AD104" s="2">
        <v>128.30000000000001</v>
      </c>
    </row>
    <row r="105" spans="1:30" ht="14.4" x14ac:dyDescent="0.3">
      <c r="A105" s="2" t="s">
        <v>33</v>
      </c>
      <c r="B105" s="2">
        <v>2015</v>
      </c>
      <c r="C105" s="2" t="s">
        <v>44</v>
      </c>
      <c r="D105" s="2">
        <v>124</v>
      </c>
      <c r="E105" s="2">
        <v>129.80000000000001</v>
      </c>
      <c r="F105" s="2">
        <v>121.5</v>
      </c>
      <c r="G105" s="2">
        <v>128.6</v>
      </c>
      <c r="H105" s="2">
        <v>110</v>
      </c>
      <c r="I105" s="2">
        <v>123.7</v>
      </c>
      <c r="J105" s="2">
        <v>164.6</v>
      </c>
      <c r="K105" s="2">
        <v>191.6</v>
      </c>
      <c r="L105" s="2">
        <v>90.8</v>
      </c>
      <c r="M105" s="2">
        <v>137.1</v>
      </c>
      <c r="N105" s="2">
        <v>119.8</v>
      </c>
      <c r="O105" s="2">
        <v>133.69999999999999</v>
      </c>
      <c r="P105" s="2">
        <v>133.30000000000001</v>
      </c>
      <c r="Q105" s="2">
        <v>137.6</v>
      </c>
      <c r="R105" s="2">
        <v>125</v>
      </c>
      <c r="S105" s="2">
        <v>119.3</v>
      </c>
      <c r="T105" s="2">
        <v>124.2</v>
      </c>
      <c r="U105" s="2">
        <v>122.9</v>
      </c>
      <c r="V105" s="2">
        <v>115.1</v>
      </c>
      <c r="W105" s="2">
        <v>121</v>
      </c>
      <c r="X105" s="2">
        <v>118.1</v>
      </c>
      <c r="Y105" s="2">
        <v>109.3</v>
      </c>
      <c r="Z105" s="2">
        <v>117.9</v>
      </c>
      <c r="AA105" s="2">
        <v>126.6</v>
      </c>
      <c r="AB105" s="2">
        <v>113.3</v>
      </c>
      <c r="AC105" s="2">
        <v>116.6</v>
      </c>
      <c r="AD105" s="2">
        <v>124.6</v>
      </c>
    </row>
    <row r="106" spans="1:30" ht="14.4" x14ac:dyDescent="0.3">
      <c r="A106" s="2" t="s">
        <v>34</v>
      </c>
      <c r="B106" s="2">
        <v>2015</v>
      </c>
      <c r="C106" s="2" t="s">
        <v>44</v>
      </c>
      <c r="D106" s="2">
        <v>125.4</v>
      </c>
      <c r="E106" s="2">
        <v>130.30000000000001</v>
      </c>
      <c r="F106" s="2">
        <v>121.6</v>
      </c>
      <c r="G106" s="2">
        <v>129.19999999999999</v>
      </c>
      <c r="H106" s="2">
        <v>114.9</v>
      </c>
      <c r="I106" s="2">
        <v>128.19999999999999</v>
      </c>
      <c r="J106" s="2">
        <v>158.4</v>
      </c>
      <c r="K106" s="2">
        <v>171.2</v>
      </c>
      <c r="L106" s="2">
        <v>93.3</v>
      </c>
      <c r="M106" s="2">
        <v>131.19999999999999</v>
      </c>
      <c r="N106" s="2">
        <v>121.7</v>
      </c>
      <c r="O106" s="2">
        <v>134</v>
      </c>
      <c r="P106" s="2">
        <v>132.69999999999999</v>
      </c>
      <c r="Q106" s="2">
        <v>133.6</v>
      </c>
      <c r="R106" s="2">
        <v>129.30000000000001</v>
      </c>
      <c r="S106" s="2">
        <v>124.5</v>
      </c>
      <c r="T106" s="2">
        <v>128.6</v>
      </c>
      <c r="U106" s="2">
        <v>122.9</v>
      </c>
      <c r="V106" s="2">
        <v>121.6</v>
      </c>
      <c r="W106" s="2">
        <v>123.4</v>
      </c>
      <c r="X106" s="2">
        <v>120.9</v>
      </c>
      <c r="Y106" s="2">
        <v>111.5</v>
      </c>
      <c r="Z106" s="2">
        <v>119.2</v>
      </c>
      <c r="AA106" s="2">
        <v>126.3</v>
      </c>
      <c r="AB106" s="2">
        <v>113.8</v>
      </c>
      <c r="AC106" s="2">
        <v>118.1</v>
      </c>
      <c r="AD106" s="2">
        <v>126.6</v>
      </c>
    </row>
    <row r="107" spans="1:30" ht="14.4" x14ac:dyDescent="0.3">
      <c r="A107" s="2" t="s">
        <v>30</v>
      </c>
      <c r="B107" s="2">
        <v>2015</v>
      </c>
      <c r="C107" s="2" t="s">
        <v>45</v>
      </c>
      <c r="D107" s="2">
        <v>126.3</v>
      </c>
      <c r="E107" s="2">
        <v>131.30000000000001</v>
      </c>
      <c r="F107" s="2">
        <v>123.3</v>
      </c>
      <c r="G107" s="2">
        <v>129.80000000000001</v>
      </c>
      <c r="H107" s="2">
        <v>118.3</v>
      </c>
      <c r="I107" s="2">
        <v>131.6</v>
      </c>
      <c r="J107" s="2">
        <v>145.5</v>
      </c>
      <c r="K107" s="2">
        <v>162.1</v>
      </c>
      <c r="L107" s="2">
        <v>95.4</v>
      </c>
      <c r="M107" s="2">
        <v>128.9</v>
      </c>
      <c r="N107" s="2">
        <v>123.3</v>
      </c>
      <c r="O107" s="2">
        <v>135.1</v>
      </c>
      <c r="P107" s="2">
        <v>131.4</v>
      </c>
      <c r="Q107" s="2">
        <v>133.1</v>
      </c>
      <c r="R107" s="2">
        <v>132.5</v>
      </c>
      <c r="S107" s="2">
        <v>128.5</v>
      </c>
      <c r="T107" s="2">
        <v>131.9</v>
      </c>
      <c r="U107" s="2" t="s">
        <v>32</v>
      </c>
      <c r="V107" s="2">
        <v>125.7</v>
      </c>
      <c r="W107" s="2">
        <v>126</v>
      </c>
      <c r="X107" s="2">
        <v>123.1</v>
      </c>
      <c r="Y107" s="2">
        <v>114</v>
      </c>
      <c r="Z107" s="2">
        <v>121.6</v>
      </c>
      <c r="AA107" s="2">
        <v>125.6</v>
      </c>
      <c r="AB107" s="2">
        <v>114.1</v>
      </c>
      <c r="AC107" s="2">
        <v>119.8</v>
      </c>
      <c r="AD107" s="2">
        <v>127.9</v>
      </c>
    </row>
    <row r="108" spans="1:30" ht="14.4" x14ac:dyDescent="0.3">
      <c r="A108" s="2" t="s">
        <v>33</v>
      </c>
      <c r="B108" s="2">
        <v>2015</v>
      </c>
      <c r="C108" s="2" t="s">
        <v>45</v>
      </c>
      <c r="D108" s="2">
        <v>124.3</v>
      </c>
      <c r="E108" s="2">
        <v>131.69999999999999</v>
      </c>
      <c r="F108" s="2">
        <v>127.1</v>
      </c>
      <c r="G108" s="2">
        <v>128.6</v>
      </c>
      <c r="H108" s="2">
        <v>110</v>
      </c>
      <c r="I108" s="2">
        <v>120.8</v>
      </c>
      <c r="J108" s="2">
        <v>149</v>
      </c>
      <c r="K108" s="2">
        <v>190.1</v>
      </c>
      <c r="L108" s="2">
        <v>92.7</v>
      </c>
      <c r="M108" s="2">
        <v>138.6</v>
      </c>
      <c r="N108" s="2">
        <v>120.2</v>
      </c>
      <c r="O108" s="2">
        <v>134.19999999999999</v>
      </c>
      <c r="P108" s="2">
        <v>131.5</v>
      </c>
      <c r="Q108" s="2">
        <v>138.19999999999999</v>
      </c>
      <c r="R108" s="2">
        <v>125.4</v>
      </c>
      <c r="S108" s="2">
        <v>119.5</v>
      </c>
      <c r="T108" s="2">
        <v>124.5</v>
      </c>
      <c r="U108" s="2">
        <v>122.4</v>
      </c>
      <c r="V108" s="2">
        <v>116</v>
      </c>
      <c r="W108" s="2">
        <v>121</v>
      </c>
      <c r="X108" s="2">
        <v>118.6</v>
      </c>
      <c r="Y108" s="2">
        <v>109.3</v>
      </c>
      <c r="Z108" s="2">
        <v>118.1</v>
      </c>
      <c r="AA108" s="2">
        <v>126.6</v>
      </c>
      <c r="AB108" s="2">
        <v>113.2</v>
      </c>
      <c r="AC108" s="2">
        <v>116.7</v>
      </c>
      <c r="AD108" s="2">
        <v>124</v>
      </c>
    </row>
    <row r="109" spans="1:30" ht="14.4" x14ac:dyDescent="0.3">
      <c r="A109" s="2" t="s">
        <v>34</v>
      </c>
      <c r="B109" s="2">
        <v>2015</v>
      </c>
      <c r="C109" s="2" t="s">
        <v>45</v>
      </c>
      <c r="D109" s="2">
        <v>125.7</v>
      </c>
      <c r="E109" s="2">
        <v>131.4</v>
      </c>
      <c r="F109" s="2">
        <v>124.8</v>
      </c>
      <c r="G109" s="2">
        <v>129.4</v>
      </c>
      <c r="H109" s="2">
        <v>115.3</v>
      </c>
      <c r="I109" s="2">
        <v>126.6</v>
      </c>
      <c r="J109" s="2">
        <v>146.69999999999999</v>
      </c>
      <c r="K109" s="2">
        <v>171.5</v>
      </c>
      <c r="L109" s="2">
        <v>94.5</v>
      </c>
      <c r="M109" s="2">
        <v>132.1</v>
      </c>
      <c r="N109" s="2">
        <v>122</v>
      </c>
      <c r="O109" s="2">
        <v>134.69999999999999</v>
      </c>
      <c r="P109" s="2">
        <v>131.4</v>
      </c>
      <c r="Q109" s="2">
        <v>134.5</v>
      </c>
      <c r="R109" s="2">
        <v>129.69999999999999</v>
      </c>
      <c r="S109" s="2">
        <v>124.8</v>
      </c>
      <c r="T109" s="2">
        <v>129</v>
      </c>
      <c r="U109" s="2">
        <v>122.4</v>
      </c>
      <c r="V109" s="2">
        <v>122</v>
      </c>
      <c r="W109" s="2">
        <v>123.6</v>
      </c>
      <c r="X109" s="2">
        <v>121.4</v>
      </c>
      <c r="Y109" s="2">
        <v>111.5</v>
      </c>
      <c r="Z109" s="2">
        <v>119.6</v>
      </c>
      <c r="AA109" s="2">
        <v>126.2</v>
      </c>
      <c r="AB109" s="2">
        <v>113.7</v>
      </c>
      <c r="AC109" s="2">
        <v>118.3</v>
      </c>
      <c r="AD109" s="2">
        <v>126.1</v>
      </c>
    </row>
    <row r="110" spans="1:30" ht="14.4" x14ac:dyDescent="0.3">
      <c r="A110" s="2" t="s">
        <v>30</v>
      </c>
      <c r="B110" s="2">
        <v>2016</v>
      </c>
      <c r="C110" s="2" t="s">
        <v>31</v>
      </c>
      <c r="D110" s="2">
        <v>126.8</v>
      </c>
      <c r="E110" s="2">
        <v>133.19999999999999</v>
      </c>
      <c r="F110" s="2">
        <v>126.5</v>
      </c>
      <c r="G110" s="2">
        <v>130.30000000000001</v>
      </c>
      <c r="H110" s="2">
        <v>118.9</v>
      </c>
      <c r="I110" s="2">
        <v>131.6</v>
      </c>
      <c r="J110" s="2">
        <v>140.1</v>
      </c>
      <c r="K110" s="2">
        <v>163.80000000000001</v>
      </c>
      <c r="L110" s="2">
        <v>97.7</v>
      </c>
      <c r="M110" s="2">
        <v>129.6</v>
      </c>
      <c r="N110" s="2">
        <v>124.3</v>
      </c>
      <c r="O110" s="2">
        <v>135.9</v>
      </c>
      <c r="P110" s="2">
        <v>131.4</v>
      </c>
      <c r="Q110" s="2">
        <v>133.6</v>
      </c>
      <c r="R110" s="2">
        <v>133.19999999999999</v>
      </c>
      <c r="S110" s="2">
        <v>128.9</v>
      </c>
      <c r="T110" s="2">
        <v>132.6</v>
      </c>
      <c r="U110" s="2" t="s">
        <v>32</v>
      </c>
      <c r="V110" s="2">
        <v>126.2</v>
      </c>
      <c r="W110" s="2">
        <v>126.6</v>
      </c>
      <c r="X110" s="2">
        <v>123.7</v>
      </c>
      <c r="Y110" s="2">
        <v>113.6</v>
      </c>
      <c r="Z110" s="2">
        <v>121.4</v>
      </c>
      <c r="AA110" s="2">
        <v>126.2</v>
      </c>
      <c r="AB110" s="2">
        <v>114.9</v>
      </c>
      <c r="AC110" s="2">
        <v>120.1</v>
      </c>
      <c r="AD110" s="2">
        <v>128.1</v>
      </c>
    </row>
    <row r="111" spans="1:30" ht="14.4" x14ac:dyDescent="0.3">
      <c r="A111" s="2" t="s">
        <v>33</v>
      </c>
      <c r="B111" s="2">
        <v>2016</v>
      </c>
      <c r="C111" s="2" t="s">
        <v>31</v>
      </c>
      <c r="D111" s="2">
        <v>124.7</v>
      </c>
      <c r="E111" s="2">
        <v>135.9</v>
      </c>
      <c r="F111" s="2">
        <v>132</v>
      </c>
      <c r="G111" s="2">
        <v>129.19999999999999</v>
      </c>
      <c r="H111" s="2">
        <v>109.7</v>
      </c>
      <c r="I111" s="2">
        <v>119</v>
      </c>
      <c r="J111" s="2">
        <v>144.1</v>
      </c>
      <c r="K111" s="2">
        <v>184.2</v>
      </c>
      <c r="L111" s="2">
        <v>96.7</v>
      </c>
      <c r="M111" s="2">
        <v>139.5</v>
      </c>
      <c r="N111" s="2">
        <v>120.5</v>
      </c>
      <c r="O111" s="2">
        <v>134.69999999999999</v>
      </c>
      <c r="P111" s="2">
        <v>131.19999999999999</v>
      </c>
      <c r="Q111" s="2">
        <v>139.5</v>
      </c>
      <c r="R111" s="2">
        <v>125.8</v>
      </c>
      <c r="S111" s="2">
        <v>119.8</v>
      </c>
      <c r="T111" s="2">
        <v>124.9</v>
      </c>
      <c r="U111" s="2">
        <v>123.4</v>
      </c>
      <c r="V111" s="2">
        <v>116.9</v>
      </c>
      <c r="W111" s="2">
        <v>121.6</v>
      </c>
      <c r="X111" s="2">
        <v>119.1</v>
      </c>
      <c r="Y111" s="2">
        <v>108.9</v>
      </c>
      <c r="Z111" s="2">
        <v>118.5</v>
      </c>
      <c r="AA111" s="2">
        <v>126.4</v>
      </c>
      <c r="AB111" s="2">
        <v>114</v>
      </c>
      <c r="AC111" s="2">
        <v>116.8</v>
      </c>
      <c r="AD111" s="2">
        <v>124.2</v>
      </c>
    </row>
    <row r="112" spans="1:30" ht="14.4" x14ac:dyDescent="0.3">
      <c r="A112" s="2" t="s">
        <v>34</v>
      </c>
      <c r="B112" s="2">
        <v>2016</v>
      </c>
      <c r="C112" s="2" t="s">
        <v>31</v>
      </c>
      <c r="D112" s="2">
        <v>126.1</v>
      </c>
      <c r="E112" s="2">
        <v>134.1</v>
      </c>
      <c r="F112" s="2">
        <v>128.6</v>
      </c>
      <c r="G112" s="2">
        <v>129.9</v>
      </c>
      <c r="H112" s="2">
        <v>115.5</v>
      </c>
      <c r="I112" s="2">
        <v>125.7</v>
      </c>
      <c r="J112" s="2">
        <v>141.5</v>
      </c>
      <c r="K112" s="2">
        <v>170.7</v>
      </c>
      <c r="L112" s="2">
        <v>97.4</v>
      </c>
      <c r="M112" s="2">
        <v>132.9</v>
      </c>
      <c r="N112" s="2">
        <v>122.7</v>
      </c>
      <c r="O112" s="2">
        <v>135.30000000000001</v>
      </c>
      <c r="P112" s="2">
        <v>131.30000000000001</v>
      </c>
      <c r="Q112" s="2">
        <v>135.19999999999999</v>
      </c>
      <c r="R112" s="2">
        <v>130.30000000000001</v>
      </c>
      <c r="S112" s="2">
        <v>125.1</v>
      </c>
      <c r="T112" s="2">
        <v>129.5</v>
      </c>
      <c r="U112" s="2">
        <v>123.4</v>
      </c>
      <c r="V112" s="2">
        <v>122.7</v>
      </c>
      <c r="W112" s="2">
        <v>124.2</v>
      </c>
      <c r="X112" s="2">
        <v>122</v>
      </c>
      <c r="Y112" s="2">
        <v>111.1</v>
      </c>
      <c r="Z112" s="2">
        <v>119.8</v>
      </c>
      <c r="AA112" s="2">
        <v>126.3</v>
      </c>
      <c r="AB112" s="2">
        <v>114.5</v>
      </c>
      <c r="AC112" s="2">
        <v>118.5</v>
      </c>
      <c r="AD112" s="2">
        <v>126.3</v>
      </c>
    </row>
    <row r="113" spans="1:30" ht="14.4" x14ac:dyDescent="0.3">
      <c r="A113" s="2" t="s">
        <v>30</v>
      </c>
      <c r="B113" s="2">
        <v>2016</v>
      </c>
      <c r="C113" s="2" t="s">
        <v>35</v>
      </c>
      <c r="D113" s="2">
        <v>127.1</v>
      </c>
      <c r="E113" s="2">
        <v>133.69999999999999</v>
      </c>
      <c r="F113" s="2">
        <v>127.7</v>
      </c>
      <c r="G113" s="2">
        <v>130.69999999999999</v>
      </c>
      <c r="H113" s="2">
        <v>118.5</v>
      </c>
      <c r="I113" s="2">
        <v>130.4</v>
      </c>
      <c r="J113" s="2">
        <v>130.9</v>
      </c>
      <c r="K113" s="2">
        <v>162.80000000000001</v>
      </c>
      <c r="L113" s="2">
        <v>98.7</v>
      </c>
      <c r="M113" s="2">
        <v>130.6</v>
      </c>
      <c r="N113" s="2">
        <v>124.8</v>
      </c>
      <c r="O113" s="2">
        <v>136.4</v>
      </c>
      <c r="P113" s="2">
        <v>130.30000000000001</v>
      </c>
      <c r="Q113" s="2">
        <v>134.4</v>
      </c>
      <c r="R113" s="2">
        <v>133.9</v>
      </c>
      <c r="S113" s="2">
        <v>129.80000000000001</v>
      </c>
      <c r="T113" s="2">
        <v>133.4</v>
      </c>
      <c r="U113" s="2" t="s">
        <v>32</v>
      </c>
      <c r="V113" s="2">
        <v>127.5</v>
      </c>
      <c r="W113" s="2">
        <v>127.1</v>
      </c>
      <c r="X113" s="2">
        <v>124.3</v>
      </c>
      <c r="Y113" s="2">
        <v>113.9</v>
      </c>
      <c r="Z113" s="2">
        <v>122.3</v>
      </c>
      <c r="AA113" s="2">
        <v>127.1</v>
      </c>
      <c r="AB113" s="2">
        <v>116.8</v>
      </c>
      <c r="AC113" s="2">
        <v>120.9</v>
      </c>
      <c r="AD113" s="2">
        <v>127.9</v>
      </c>
    </row>
    <row r="114" spans="1:30" ht="14.4" x14ac:dyDescent="0.3">
      <c r="A114" s="2" t="s">
        <v>33</v>
      </c>
      <c r="B114" s="2">
        <v>2016</v>
      </c>
      <c r="C114" s="2" t="s">
        <v>35</v>
      </c>
      <c r="D114" s="2">
        <v>124.8</v>
      </c>
      <c r="E114" s="2">
        <v>135.1</v>
      </c>
      <c r="F114" s="2">
        <v>130.30000000000001</v>
      </c>
      <c r="G114" s="2">
        <v>129.6</v>
      </c>
      <c r="H114" s="2">
        <v>108.4</v>
      </c>
      <c r="I114" s="2">
        <v>118.6</v>
      </c>
      <c r="J114" s="2">
        <v>129.19999999999999</v>
      </c>
      <c r="K114" s="2">
        <v>176.4</v>
      </c>
      <c r="L114" s="2">
        <v>99.1</v>
      </c>
      <c r="M114" s="2">
        <v>139.69999999999999</v>
      </c>
      <c r="N114" s="2">
        <v>120.6</v>
      </c>
      <c r="O114" s="2">
        <v>135.19999999999999</v>
      </c>
      <c r="P114" s="2">
        <v>129.1</v>
      </c>
      <c r="Q114" s="2">
        <v>140</v>
      </c>
      <c r="R114" s="2">
        <v>126.2</v>
      </c>
      <c r="S114" s="2">
        <v>120.1</v>
      </c>
      <c r="T114" s="2">
        <v>125.3</v>
      </c>
      <c r="U114" s="2">
        <v>124.4</v>
      </c>
      <c r="V114" s="2">
        <v>116</v>
      </c>
      <c r="W114" s="2">
        <v>121.8</v>
      </c>
      <c r="X114" s="2">
        <v>119.5</v>
      </c>
      <c r="Y114" s="2">
        <v>109.1</v>
      </c>
      <c r="Z114" s="2">
        <v>118.8</v>
      </c>
      <c r="AA114" s="2">
        <v>126.3</v>
      </c>
      <c r="AB114" s="2">
        <v>116.2</v>
      </c>
      <c r="AC114" s="2">
        <v>117.2</v>
      </c>
      <c r="AD114" s="2">
        <v>123.8</v>
      </c>
    </row>
    <row r="115" spans="1:30" ht="14.4" x14ac:dyDescent="0.3">
      <c r="A115" s="2" t="s">
        <v>34</v>
      </c>
      <c r="B115" s="2">
        <v>2016</v>
      </c>
      <c r="C115" s="2" t="s">
        <v>35</v>
      </c>
      <c r="D115" s="2">
        <v>126.4</v>
      </c>
      <c r="E115" s="2">
        <v>134.19999999999999</v>
      </c>
      <c r="F115" s="2">
        <v>128.69999999999999</v>
      </c>
      <c r="G115" s="2">
        <v>130.30000000000001</v>
      </c>
      <c r="H115" s="2">
        <v>114.8</v>
      </c>
      <c r="I115" s="2">
        <v>124.9</v>
      </c>
      <c r="J115" s="2">
        <v>130.30000000000001</v>
      </c>
      <c r="K115" s="2">
        <v>167.4</v>
      </c>
      <c r="L115" s="2">
        <v>98.8</v>
      </c>
      <c r="M115" s="2">
        <v>133.6</v>
      </c>
      <c r="N115" s="2">
        <v>123</v>
      </c>
      <c r="O115" s="2">
        <v>135.80000000000001</v>
      </c>
      <c r="P115" s="2">
        <v>129.9</v>
      </c>
      <c r="Q115" s="2">
        <v>135.9</v>
      </c>
      <c r="R115" s="2">
        <v>130.9</v>
      </c>
      <c r="S115" s="2">
        <v>125.8</v>
      </c>
      <c r="T115" s="2">
        <v>130.19999999999999</v>
      </c>
      <c r="U115" s="2">
        <v>124.4</v>
      </c>
      <c r="V115" s="2">
        <v>123.1</v>
      </c>
      <c r="W115" s="2">
        <v>124.6</v>
      </c>
      <c r="X115" s="2">
        <v>122.5</v>
      </c>
      <c r="Y115" s="2">
        <v>111.4</v>
      </c>
      <c r="Z115" s="2">
        <v>120.3</v>
      </c>
      <c r="AA115" s="2">
        <v>126.6</v>
      </c>
      <c r="AB115" s="2">
        <v>116.6</v>
      </c>
      <c r="AC115" s="2">
        <v>119.1</v>
      </c>
      <c r="AD115" s="2">
        <v>126</v>
      </c>
    </row>
    <row r="116" spans="1:30" ht="14.4" x14ac:dyDescent="0.3">
      <c r="A116" s="2" t="s">
        <v>30</v>
      </c>
      <c r="B116" s="2">
        <v>2016</v>
      </c>
      <c r="C116" s="2" t="s">
        <v>36</v>
      </c>
      <c r="D116" s="2">
        <v>127.3</v>
      </c>
      <c r="E116" s="2">
        <v>134.4</v>
      </c>
      <c r="F116" s="2">
        <v>125.1</v>
      </c>
      <c r="G116" s="2">
        <v>130.5</v>
      </c>
      <c r="H116" s="2">
        <v>118.3</v>
      </c>
      <c r="I116" s="2">
        <v>131.69999999999999</v>
      </c>
      <c r="J116" s="2">
        <v>130.69999999999999</v>
      </c>
      <c r="K116" s="2">
        <v>161.19999999999999</v>
      </c>
      <c r="L116" s="2">
        <v>100.4</v>
      </c>
      <c r="M116" s="2">
        <v>130.80000000000001</v>
      </c>
      <c r="N116" s="2">
        <v>124.9</v>
      </c>
      <c r="O116" s="2">
        <v>137</v>
      </c>
      <c r="P116" s="2">
        <v>130.4</v>
      </c>
      <c r="Q116" s="2">
        <v>135</v>
      </c>
      <c r="R116" s="2">
        <v>134.4</v>
      </c>
      <c r="S116" s="2">
        <v>130.19999999999999</v>
      </c>
      <c r="T116" s="2">
        <v>133.80000000000001</v>
      </c>
      <c r="U116" s="2" t="s">
        <v>32</v>
      </c>
      <c r="V116" s="2">
        <v>127</v>
      </c>
      <c r="W116" s="2">
        <v>127.7</v>
      </c>
      <c r="X116" s="2">
        <v>124.8</v>
      </c>
      <c r="Y116" s="2">
        <v>113.6</v>
      </c>
      <c r="Z116" s="2">
        <v>122.5</v>
      </c>
      <c r="AA116" s="2">
        <v>127.5</v>
      </c>
      <c r="AB116" s="2">
        <v>117.4</v>
      </c>
      <c r="AC116" s="2">
        <v>121.1</v>
      </c>
      <c r="AD116" s="2">
        <v>128</v>
      </c>
    </row>
    <row r="117" spans="1:30" ht="14.4" x14ac:dyDescent="0.3">
      <c r="A117" s="2" t="s">
        <v>33</v>
      </c>
      <c r="B117" s="2">
        <v>2016</v>
      </c>
      <c r="C117" s="2" t="s">
        <v>36</v>
      </c>
      <c r="D117" s="2">
        <v>124.8</v>
      </c>
      <c r="E117" s="2">
        <v>136.30000000000001</v>
      </c>
      <c r="F117" s="2">
        <v>123.7</v>
      </c>
      <c r="G117" s="2">
        <v>129.69999999999999</v>
      </c>
      <c r="H117" s="2">
        <v>107.9</v>
      </c>
      <c r="I117" s="2">
        <v>119.9</v>
      </c>
      <c r="J117" s="2">
        <v>128.1</v>
      </c>
      <c r="K117" s="2">
        <v>170.3</v>
      </c>
      <c r="L117" s="2">
        <v>101.8</v>
      </c>
      <c r="M117" s="2">
        <v>140.1</v>
      </c>
      <c r="N117" s="2">
        <v>120.7</v>
      </c>
      <c r="O117" s="2">
        <v>135.4</v>
      </c>
      <c r="P117" s="2">
        <v>128.9</v>
      </c>
      <c r="Q117" s="2">
        <v>140.6</v>
      </c>
      <c r="R117" s="2">
        <v>126.4</v>
      </c>
      <c r="S117" s="2">
        <v>120.3</v>
      </c>
      <c r="T117" s="2">
        <v>125.5</v>
      </c>
      <c r="U117" s="2">
        <v>124.9</v>
      </c>
      <c r="V117" s="2">
        <v>114.8</v>
      </c>
      <c r="W117" s="2">
        <v>122.3</v>
      </c>
      <c r="X117" s="2">
        <v>119.7</v>
      </c>
      <c r="Y117" s="2">
        <v>108.5</v>
      </c>
      <c r="Z117" s="2">
        <v>119.1</v>
      </c>
      <c r="AA117" s="2">
        <v>126.4</v>
      </c>
      <c r="AB117" s="2">
        <v>117.1</v>
      </c>
      <c r="AC117" s="2">
        <v>117.3</v>
      </c>
      <c r="AD117" s="2">
        <v>123.8</v>
      </c>
    </row>
    <row r="118" spans="1:30" ht="14.4" x14ac:dyDescent="0.3">
      <c r="A118" s="2" t="s">
        <v>34</v>
      </c>
      <c r="B118" s="2">
        <v>2016</v>
      </c>
      <c r="C118" s="2" t="s">
        <v>36</v>
      </c>
      <c r="D118" s="2">
        <v>126.5</v>
      </c>
      <c r="E118" s="2">
        <v>135.1</v>
      </c>
      <c r="F118" s="2">
        <v>124.6</v>
      </c>
      <c r="G118" s="2">
        <v>130.19999999999999</v>
      </c>
      <c r="H118" s="2">
        <v>114.5</v>
      </c>
      <c r="I118" s="2">
        <v>126.2</v>
      </c>
      <c r="J118" s="2">
        <v>129.80000000000001</v>
      </c>
      <c r="K118" s="2">
        <v>164.3</v>
      </c>
      <c r="L118" s="2">
        <v>100.9</v>
      </c>
      <c r="M118" s="2">
        <v>133.9</v>
      </c>
      <c r="N118" s="2">
        <v>123.1</v>
      </c>
      <c r="O118" s="2">
        <v>136.30000000000001</v>
      </c>
      <c r="P118" s="2">
        <v>129.80000000000001</v>
      </c>
      <c r="Q118" s="2">
        <v>136.5</v>
      </c>
      <c r="R118" s="2">
        <v>131.30000000000001</v>
      </c>
      <c r="S118" s="2">
        <v>126.1</v>
      </c>
      <c r="T118" s="2">
        <v>130.5</v>
      </c>
      <c r="U118" s="2">
        <v>124.9</v>
      </c>
      <c r="V118" s="2">
        <v>122.4</v>
      </c>
      <c r="W118" s="2">
        <v>125.1</v>
      </c>
      <c r="X118" s="2">
        <v>122.9</v>
      </c>
      <c r="Y118" s="2">
        <v>110.9</v>
      </c>
      <c r="Z118" s="2">
        <v>120.6</v>
      </c>
      <c r="AA118" s="2">
        <v>126.9</v>
      </c>
      <c r="AB118" s="2">
        <v>117.3</v>
      </c>
      <c r="AC118" s="2">
        <v>119.3</v>
      </c>
      <c r="AD118" s="2">
        <v>126</v>
      </c>
    </row>
    <row r="119" spans="1:30" ht="14.4" x14ac:dyDescent="0.3">
      <c r="A119" s="2" t="s">
        <v>30</v>
      </c>
      <c r="B119" s="2">
        <v>2016</v>
      </c>
      <c r="C119" s="2" t="s">
        <v>37</v>
      </c>
      <c r="D119" s="2">
        <v>127.4</v>
      </c>
      <c r="E119" s="2">
        <v>135.4</v>
      </c>
      <c r="F119" s="2">
        <v>123.4</v>
      </c>
      <c r="G119" s="2">
        <v>131.30000000000001</v>
      </c>
      <c r="H119" s="2">
        <v>118.2</v>
      </c>
      <c r="I119" s="2">
        <v>138.1</v>
      </c>
      <c r="J119" s="2">
        <v>134.1</v>
      </c>
      <c r="K119" s="2">
        <v>162.69999999999999</v>
      </c>
      <c r="L119" s="2">
        <v>105</v>
      </c>
      <c r="M119" s="2">
        <v>131.4</v>
      </c>
      <c r="N119" s="2">
        <v>125.4</v>
      </c>
      <c r="O119" s="2">
        <v>137.4</v>
      </c>
      <c r="P119" s="2">
        <v>131.80000000000001</v>
      </c>
      <c r="Q119" s="2">
        <v>135.5</v>
      </c>
      <c r="R119" s="2">
        <v>135</v>
      </c>
      <c r="S119" s="2">
        <v>130.6</v>
      </c>
      <c r="T119" s="2">
        <v>134.4</v>
      </c>
      <c r="U119" s="2" t="s">
        <v>32</v>
      </c>
      <c r="V119" s="2">
        <v>127</v>
      </c>
      <c r="W119" s="2">
        <v>128</v>
      </c>
      <c r="X119" s="2">
        <v>125.2</v>
      </c>
      <c r="Y119" s="2">
        <v>114.4</v>
      </c>
      <c r="Z119" s="2">
        <v>123.2</v>
      </c>
      <c r="AA119" s="2">
        <v>127.9</v>
      </c>
      <c r="AB119" s="2">
        <v>118.4</v>
      </c>
      <c r="AC119" s="2">
        <v>121.7</v>
      </c>
      <c r="AD119" s="2">
        <v>129</v>
      </c>
    </row>
    <row r="120" spans="1:30" ht="14.4" x14ac:dyDescent="0.3">
      <c r="A120" s="2" t="s">
        <v>33</v>
      </c>
      <c r="B120" s="2">
        <v>2016</v>
      </c>
      <c r="C120" s="2" t="s">
        <v>37</v>
      </c>
      <c r="D120" s="2">
        <v>124.9</v>
      </c>
      <c r="E120" s="2">
        <v>139.30000000000001</v>
      </c>
      <c r="F120" s="2">
        <v>119.9</v>
      </c>
      <c r="G120" s="2">
        <v>130.19999999999999</v>
      </c>
      <c r="H120" s="2">
        <v>108.9</v>
      </c>
      <c r="I120" s="2">
        <v>131.1</v>
      </c>
      <c r="J120" s="2">
        <v>136.80000000000001</v>
      </c>
      <c r="K120" s="2">
        <v>176.9</v>
      </c>
      <c r="L120" s="2">
        <v>109.1</v>
      </c>
      <c r="M120" s="2">
        <v>140.4</v>
      </c>
      <c r="N120" s="2">
        <v>121.1</v>
      </c>
      <c r="O120" s="2">
        <v>135.9</v>
      </c>
      <c r="P120" s="2">
        <v>131.80000000000001</v>
      </c>
      <c r="Q120" s="2">
        <v>141.5</v>
      </c>
      <c r="R120" s="2">
        <v>126.8</v>
      </c>
      <c r="S120" s="2">
        <v>120.5</v>
      </c>
      <c r="T120" s="2">
        <v>125.8</v>
      </c>
      <c r="U120" s="2">
        <v>125.6</v>
      </c>
      <c r="V120" s="2">
        <v>114.6</v>
      </c>
      <c r="W120" s="2">
        <v>122.8</v>
      </c>
      <c r="X120" s="2">
        <v>120</v>
      </c>
      <c r="Y120" s="2">
        <v>110</v>
      </c>
      <c r="Z120" s="2">
        <v>119.5</v>
      </c>
      <c r="AA120" s="2">
        <v>127.6</v>
      </c>
      <c r="AB120" s="2">
        <v>117.6</v>
      </c>
      <c r="AC120" s="2">
        <v>118.2</v>
      </c>
      <c r="AD120" s="2">
        <v>125.3</v>
      </c>
    </row>
    <row r="121" spans="1:30" ht="14.4" x14ac:dyDescent="0.3">
      <c r="A121" s="2" t="s">
        <v>34</v>
      </c>
      <c r="B121" s="2">
        <v>2016</v>
      </c>
      <c r="C121" s="2" t="s">
        <v>37</v>
      </c>
      <c r="D121" s="2">
        <v>126.6</v>
      </c>
      <c r="E121" s="2">
        <v>136.80000000000001</v>
      </c>
      <c r="F121" s="2">
        <v>122</v>
      </c>
      <c r="G121" s="2">
        <v>130.9</v>
      </c>
      <c r="H121" s="2">
        <v>114.8</v>
      </c>
      <c r="I121" s="2">
        <v>134.80000000000001</v>
      </c>
      <c r="J121" s="2">
        <v>135</v>
      </c>
      <c r="K121" s="2">
        <v>167.5</v>
      </c>
      <c r="L121" s="2">
        <v>106.4</v>
      </c>
      <c r="M121" s="2">
        <v>134.4</v>
      </c>
      <c r="N121" s="2">
        <v>123.6</v>
      </c>
      <c r="O121" s="2">
        <v>136.69999999999999</v>
      </c>
      <c r="P121" s="2">
        <v>131.80000000000001</v>
      </c>
      <c r="Q121" s="2">
        <v>137.1</v>
      </c>
      <c r="R121" s="2">
        <v>131.80000000000001</v>
      </c>
      <c r="S121" s="2">
        <v>126.4</v>
      </c>
      <c r="T121" s="2">
        <v>131</v>
      </c>
      <c r="U121" s="2">
        <v>125.6</v>
      </c>
      <c r="V121" s="2">
        <v>122.3</v>
      </c>
      <c r="W121" s="2">
        <v>125.5</v>
      </c>
      <c r="X121" s="2">
        <v>123.2</v>
      </c>
      <c r="Y121" s="2">
        <v>112.1</v>
      </c>
      <c r="Z121" s="2">
        <v>121.1</v>
      </c>
      <c r="AA121" s="2">
        <v>127.7</v>
      </c>
      <c r="AB121" s="2">
        <v>118.1</v>
      </c>
      <c r="AC121" s="2">
        <v>120</v>
      </c>
      <c r="AD121" s="2">
        <v>127.3</v>
      </c>
    </row>
    <row r="122" spans="1:30" ht="14.4" x14ac:dyDescent="0.3">
      <c r="A122" s="2" t="s">
        <v>30</v>
      </c>
      <c r="B122" s="2">
        <v>2016</v>
      </c>
      <c r="C122" s="2" t="s">
        <v>38</v>
      </c>
      <c r="D122" s="2">
        <v>127.6</v>
      </c>
      <c r="E122" s="2">
        <v>137.5</v>
      </c>
      <c r="F122" s="2">
        <v>124.4</v>
      </c>
      <c r="G122" s="2">
        <v>132.4</v>
      </c>
      <c r="H122" s="2">
        <v>118.2</v>
      </c>
      <c r="I122" s="2">
        <v>138.1</v>
      </c>
      <c r="J122" s="2">
        <v>141.80000000000001</v>
      </c>
      <c r="K122" s="2">
        <v>166</v>
      </c>
      <c r="L122" s="2">
        <v>107.5</v>
      </c>
      <c r="M122" s="2">
        <v>132.19999999999999</v>
      </c>
      <c r="N122" s="2">
        <v>126.1</v>
      </c>
      <c r="O122" s="2">
        <v>138.30000000000001</v>
      </c>
      <c r="P122" s="2">
        <v>133.6</v>
      </c>
      <c r="Q122" s="2">
        <v>136</v>
      </c>
      <c r="R122" s="2">
        <v>135.4</v>
      </c>
      <c r="S122" s="2">
        <v>131.1</v>
      </c>
      <c r="T122" s="2">
        <v>134.80000000000001</v>
      </c>
      <c r="U122" s="2" t="s">
        <v>32</v>
      </c>
      <c r="V122" s="2">
        <v>127.4</v>
      </c>
      <c r="W122" s="2">
        <v>128.5</v>
      </c>
      <c r="X122" s="2">
        <v>125.8</v>
      </c>
      <c r="Y122" s="2">
        <v>115.1</v>
      </c>
      <c r="Z122" s="2">
        <v>123.6</v>
      </c>
      <c r="AA122" s="2">
        <v>129.1</v>
      </c>
      <c r="AB122" s="2">
        <v>119.7</v>
      </c>
      <c r="AC122" s="2">
        <v>122.5</v>
      </c>
      <c r="AD122" s="2">
        <v>130.30000000000001</v>
      </c>
    </row>
    <row r="123" spans="1:30" ht="14.4" x14ac:dyDescent="0.3">
      <c r="A123" s="2" t="s">
        <v>33</v>
      </c>
      <c r="B123" s="2">
        <v>2016</v>
      </c>
      <c r="C123" s="2" t="s">
        <v>38</v>
      </c>
      <c r="D123" s="2">
        <v>125</v>
      </c>
      <c r="E123" s="2">
        <v>142.1</v>
      </c>
      <c r="F123" s="2">
        <v>127</v>
      </c>
      <c r="G123" s="2">
        <v>130.4</v>
      </c>
      <c r="H123" s="2">
        <v>109.6</v>
      </c>
      <c r="I123" s="2">
        <v>133.5</v>
      </c>
      <c r="J123" s="2">
        <v>151.4</v>
      </c>
      <c r="K123" s="2">
        <v>182.8</v>
      </c>
      <c r="L123" s="2">
        <v>111.1</v>
      </c>
      <c r="M123" s="2">
        <v>141.5</v>
      </c>
      <c r="N123" s="2">
        <v>121.5</v>
      </c>
      <c r="O123" s="2">
        <v>136.30000000000001</v>
      </c>
      <c r="P123" s="2">
        <v>134.6</v>
      </c>
      <c r="Q123" s="2">
        <v>142.19999999999999</v>
      </c>
      <c r="R123" s="2">
        <v>127.2</v>
      </c>
      <c r="S123" s="2">
        <v>120.7</v>
      </c>
      <c r="T123" s="2">
        <v>126.2</v>
      </c>
      <c r="U123" s="2">
        <v>126</v>
      </c>
      <c r="V123" s="2">
        <v>115</v>
      </c>
      <c r="W123" s="2">
        <v>123.2</v>
      </c>
      <c r="X123" s="2">
        <v>120.3</v>
      </c>
      <c r="Y123" s="2">
        <v>110.7</v>
      </c>
      <c r="Z123" s="2">
        <v>119.8</v>
      </c>
      <c r="AA123" s="2">
        <v>128</v>
      </c>
      <c r="AB123" s="2">
        <v>118.5</v>
      </c>
      <c r="AC123" s="2">
        <v>118.7</v>
      </c>
      <c r="AD123" s="2">
        <v>126.6</v>
      </c>
    </row>
    <row r="124" spans="1:30" ht="14.4" x14ac:dyDescent="0.3">
      <c r="A124" s="2" t="s">
        <v>34</v>
      </c>
      <c r="B124" s="2">
        <v>2016</v>
      </c>
      <c r="C124" s="2" t="s">
        <v>38</v>
      </c>
      <c r="D124" s="2">
        <v>126.8</v>
      </c>
      <c r="E124" s="2">
        <v>139.1</v>
      </c>
      <c r="F124" s="2">
        <v>125.4</v>
      </c>
      <c r="G124" s="2">
        <v>131.69999999999999</v>
      </c>
      <c r="H124" s="2">
        <v>115</v>
      </c>
      <c r="I124" s="2">
        <v>136</v>
      </c>
      <c r="J124" s="2">
        <v>145.1</v>
      </c>
      <c r="K124" s="2">
        <v>171.7</v>
      </c>
      <c r="L124" s="2">
        <v>108.7</v>
      </c>
      <c r="M124" s="2">
        <v>135.30000000000001</v>
      </c>
      <c r="N124" s="2">
        <v>124.2</v>
      </c>
      <c r="O124" s="2">
        <v>137.4</v>
      </c>
      <c r="P124" s="2">
        <v>134</v>
      </c>
      <c r="Q124" s="2">
        <v>137.69999999999999</v>
      </c>
      <c r="R124" s="2">
        <v>132.19999999999999</v>
      </c>
      <c r="S124" s="2">
        <v>126.8</v>
      </c>
      <c r="T124" s="2">
        <v>131.4</v>
      </c>
      <c r="U124" s="2">
        <v>126</v>
      </c>
      <c r="V124" s="2">
        <v>122.7</v>
      </c>
      <c r="W124" s="2">
        <v>126</v>
      </c>
      <c r="X124" s="2">
        <v>123.7</v>
      </c>
      <c r="Y124" s="2">
        <v>112.8</v>
      </c>
      <c r="Z124" s="2">
        <v>121.5</v>
      </c>
      <c r="AA124" s="2">
        <v>128.5</v>
      </c>
      <c r="AB124" s="2">
        <v>119.2</v>
      </c>
      <c r="AC124" s="2">
        <v>120.7</v>
      </c>
      <c r="AD124" s="2">
        <v>128.6</v>
      </c>
    </row>
    <row r="125" spans="1:30" ht="14.4" x14ac:dyDescent="0.3">
      <c r="A125" s="2" t="s">
        <v>30</v>
      </c>
      <c r="B125" s="2">
        <v>2016</v>
      </c>
      <c r="C125" s="2" t="s">
        <v>39</v>
      </c>
      <c r="D125" s="2">
        <v>128.6</v>
      </c>
      <c r="E125" s="2">
        <v>138.6</v>
      </c>
      <c r="F125" s="2">
        <v>126.6</v>
      </c>
      <c r="G125" s="2">
        <v>133.6</v>
      </c>
      <c r="H125" s="2">
        <v>118.6</v>
      </c>
      <c r="I125" s="2">
        <v>137.4</v>
      </c>
      <c r="J125" s="2">
        <v>152.5</v>
      </c>
      <c r="K125" s="2">
        <v>169.2</v>
      </c>
      <c r="L125" s="2">
        <v>108.8</v>
      </c>
      <c r="M125" s="2">
        <v>133.1</v>
      </c>
      <c r="N125" s="2">
        <v>126.4</v>
      </c>
      <c r="O125" s="2">
        <v>139.19999999999999</v>
      </c>
      <c r="P125" s="2">
        <v>136</v>
      </c>
      <c r="Q125" s="2">
        <v>137.19999999999999</v>
      </c>
      <c r="R125" s="2">
        <v>136.30000000000001</v>
      </c>
      <c r="S125" s="2">
        <v>131.6</v>
      </c>
      <c r="T125" s="2">
        <v>135.6</v>
      </c>
      <c r="U125" s="2" t="s">
        <v>32</v>
      </c>
      <c r="V125" s="2">
        <v>128</v>
      </c>
      <c r="W125" s="2">
        <v>129.30000000000001</v>
      </c>
      <c r="X125" s="2">
        <v>126.2</v>
      </c>
      <c r="Y125" s="2">
        <v>116.3</v>
      </c>
      <c r="Z125" s="2">
        <v>124.1</v>
      </c>
      <c r="AA125" s="2">
        <v>130.19999999999999</v>
      </c>
      <c r="AB125" s="2">
        <v>119.9</v>
      </c>
      <c r="AC125" s="2">
        <v>123.3</v>
      </c>
      <c r="AD125" s="2">
        <v>131.9</v>
      </c>
    </row>
    <row r="126" spans="1:30" ht="14.4" x14ac:dyDescent="0.3">
      <c r="A126" s="2" t="s">
        <v>33</v>
      </c>
      <c r="B126" s="2">
        <v>2016</v>
      </c>
      <c r="C126" s="2" t="s">
        <v>39</v>
      </c>
      <c r="D126" s="2">
        <v>125.9</v>
      </c>
      <c r="E126" s="2">
        <v>143.9</v>
      </c>
      <c r="F126" s="2">
        <v>130.9</v>
      </c>
      <c r="G126" s="2">
        <v>131</v>
      </c>
      <c r="H126" s="2">
        <v>110.2</v>
      </c>
      <c r="I126" s="2">
        <v>135.5</v>
      </c>
      <c r="J126" s="2">
        <v>173.7</v>
      </c>
      <c r="K126" s="2">
        <v>184.4</v>
      </c>
      <c r="L126" s="2">
        <v>112</v>
      </c>
      <c r="M126" s="2">
        <v>142.80000000000001</v>
      </c>
      <c r="N126" s="2">
        <v>121.6</v>
      </c>
      <c r="O126" s="2">
        <v>136.9</v>
      </c>
      <c r="P126" s="2">
        <v>138.19999999999999</v>
      </c>
      <c r="Q126" s="2">
        <v>142.69999999999999</v>
      </c>
      <c r="R126" s="2">
        <v>127.6</v>
      </c>
      <c r="S126" s="2">
        <v>121.1</v>
      </c>
      <c r="T126" s="2">
        <v>126.6</v>
      </c>
      <c r="U126" s="2">
        <v>125.5</v>
      </c>
      <c r="V126" s="2">
        <v>115.5</v>
      </c>
      <c r="W126" s="2">
        <v>123.2</v>
      </c>
      <c r="X126" s="2">
        <v>120.6</v>
      </c>
      <c r="Y126" s="2">
        <v>112.3</v>
      </c>
      <c r="Z126" s="2">
        <v>119.9</v>
      </c>
      <c r="AA126" s="2">
        <v>129.30000000000001</v>
      </c>
      <c r="AB126" s="2">
        <v>118.8</v>
      </c>
      <c r="AC126" s="2">
        <v>119.6</v>
      </c>
      <c r="AD126" s="2">
        <v>128.1</v>
      </c>
    </row>
    <row r="127" spans="1:30" ht="14.4" x14ac:dyDescent="0.3">
      <c r="A127" s="2" t="s">
        <v>34</v>
      </c>
      <c r="B127" s="2">
        <v>2016</v>
      </c>
      <c r="C127" s="2" t="s">
        <v>39</v>
      </c>
      <c r="D127" s="2">
        <v>127.7</v>
      </c>
      <c r="E127" s="2">
        <v>140.5</v>
      </c>
      <c r="F127" s="2">
        <v>128.30000000000001</v>
      </c>
      <c r="G127" s="2">
        <v>132.6</v>
      </c>
      <c r="H127" s="2">
        <v>115.5</v>
      </c>
      <c r="I127" s="2">
        <v>136.5</v>
      </c>
      <c r="J127" s="2">
        <v>159.69999999999999</v>
      </c>
      <c r="K127" s="2">
        <v>174.3</v>
      </c>
      <c r="L127" s="2">
        <v>109.9</v>
      </c>
      <c r="M127" s="2">
        <v>136.30000000000001</v>
      </c>
      <c r="N127" s="2">
        <v>124.4</v>
      </c>
      <c r="O127" s="2">
        <v>138.1</v>
      </c>
      <c r="P127" s="2">
        <v>136.80000000000001</v>
      </c>
      <c r="Q127" s="2">
        <v>138.69999999999999</v>
      </c>
      <c r="R127" s="2">
        <v>132.9</v>
      </c>
      <c r="S127" s="2">
        <v>127.2</v>
      </c>
      <c r="T127" s="2">
        <v>132</v>
      </c>
      <c r="U127" s="2">
        <v>125.5</v>
      </c>
      <c r="V127" s="2">
        <v>123.3</v>
      </c>
      <c r="W127" s="2">
        <v>126.4</v>
      </c>
      <c r="X127" s="2">
        <v>124.1</v>
      </c>
      <c r="Y127" s="2">
        <v>114.2</v>
      </c>
      <c r="Z127" s="2">
        <v>121.7</v>
      </c>
      <c r="AA127" s="2">
        <v>129.69999999999999</v>
      </c>
      <c r="AB127" s="2">
        <v>119.4</v>
      </c>
      <c r="AC127" s="2">
        <v>121.5</v>
      </c>
      <c r="AD127" s="2">
        <v>130.1</v>
      </c>
    </row>
    <row r="128" spans="1:30" ht="14.4" x14ac:dyDescent="0.3">
      <c r="A128" s="2" t="s">
        <v>30</v>
      </c>
      <c r="B128" s="2">
        <v>2016</v>
      </c>
      <c r="C128" s="2" t="s">
        <v>40</v>
      </c>
      <c r="D128" s="2">
        <v>129.30000000000001</v>
      </c>
      <c r="E128" s="2">
        <v>139.5</v>
      </c>
      <c r="F128" s="2">
        <v>129.6</v>
      </c>
      <c r="G128" s="2">
        <v>134.5</v>
      </c>
      <c r="H128" s="2">
        <v>119.5</v>
      </c>
      <c r="I128" s="2">
        <v>138.5</v>
      </c>
      <c r="J128" s="2">
        <v>158.19999999999999</v>
      </c>
      <c r="K128" s="2">
        <v>171.8</v>
      </c>
      <c r="L128" s="2">
        <v>110.3</v>
      </c>
      <c r="M128" s="2">
        <v>134.30000000000001</v>
      </c>
      <c r="N128" s="2">
        <v>127.3</v>
      </c>
      <c r="O128" s="2">
        <v>139.9</v>
      </c>
      <c r="P128" s="2">
        <v>137.6</v>
      </c>
      <c r="Q128" s="2">
        <v>138</v>
      </c>
      <c r="R128" s="2">
        <v>137.19999999999999</v>
      </c>
      <c r="S128" s="2">
        <v>132.19999999999999</v>
      </c>
      <c r="T128" s="2">
        <v>136.5</v>
      </c>
      <c r="U128" s="2" t="s">
        <v>32</v>
      </c>
      <c r="V128" s="2">
        <v>128.19999999999999</v>
      </c>
      <c r="W128" s="2">
        <v>130</v>
      </c>
      <c r="X128" s="2">
        <v>126.7</v>
      </c>
      <c r="Y128" s="2">
        <v>116.4</v>
      </c>
      <c r="Z128" s="2">
        <v>125.2</v>
      </c>
      <c r="AA128" s="2">
        <v>130.80000000000001</v>
      </c>
      <c r="AB128" s="2">
        <v>120.9</v>
      </c>
      <c r="AC128" s="2">
        <v>123.8</v>
      </c>
      <c r="AD128" s="2">
        <v>133</v>
      </c>
    </row>
    <row r="129" spans="1:30" ht="14.4" x14ac:dyDescent="0.3">
      <c r="A129" s="2" t="s">
        <v>33</v>
      </c>
      <c r="B129" s="2">
        <v>2016</v>
      </c>
      <c r="C129" s="2" t="s">
        <v>40</v>
      </c>
      <c r="D129" s="2">
        <v>126.8</v>
      </c>
      <c r="E129" s="2">
        <v>144.19999999999999</v>
      </c>
      <c r="F129" s="2">
        <v>136.6</v>
      </c>
      <c r="G129" s="2">
        <v>131.80000000000001</v>
      </c>
      <c r="H129" s="2">
        <v>111</v>
      </c>
      <c r="I129" s="2">
        <v>137</v>
      </c>
      <c r="J129" s="2">
        <v>179.5</v>
      </c>
      <c r="K129" s="2">
        <v>188.4</v>
      </c>
      <c r="L129" s="2">
        <v>113.3</v>
      </c>
      <c r="M129" s="2">
        <v>143.9</v>
      </c>
      <c r="N129" s="2">
        <v>121.7</v>
      </c>
      <c r="O129" s="2">
        <v>137.5</v>
      </c>
      <c r="P129" s="2">
        <v>139.80000000000001</v>
      </c>
      <c r="Q129" s="2">
        <v>142.9</v>
      </c>
      <c r="R129" s="2">
        <v>127.9</v>
      </c>
      <c r="S129" s="2">
        <v>121.1</v>
      </c>
      <c r="T129" s="2">
        <v>126.9</v>
      </c>
      <c r="U129" s="2">
        <v>126.4</v>
      </c>
      <c r="V129" s="2">
        <v>115.5</v>
      </c>
      <c r="W129" s="2">
        <v>123.5</v>
      </c>
      <c r="X129" s="2">
        <v>120.9</v>
      </c>
      <c r="Y129" s="2">
        <v>111.7</v>
      </c>
      <c r="Z129" s="2">
        <v>120.3</v>
      </c>
      <c r="AA129" s="2">
        <v>130.80000000000001</v>
      </c>
      <c r="AB129" s="2">
        <v>120</v>
      </c>
      <c r="AC129" s="2">
        <v>119.9</v>
      </c>
      <c r="AD129" s="2">
        <v>129</v>
      </c>
    </row>
    <row r="130" spans="1:30" ht="14.4" x14ac:dyDescent="0.3">
      <c r="A130" s="2" t="s">
        <v>34</v>
      </c>
      <c r="B130" s="2">
        <v>2016</v>
      </c>
      <c r="C130" s="2" t="s">
        <v>40</v>
      </c>
      <c r="D130" s="2">
        <v>128.5</v>
      </c>
      <c r="E130" s="2">
        <v>141.19999999999999</v>
      </c>
      <c r="F130" s="2">
        <v>132.30000000000001</v>
      </c>
      <c r="G130" s="2">
        <v>133.5</v>
      </c>
      <c r="H130" s="2">
        <v>116.4</v>
      </c>
      <c r="I130" s="2">
        <v>137.80000000000001</v>
      </c>
      <c r="J130" s="2">
        <v>165.4</v>
      </c>
      <c r="K130" s="2">
        <v>177.4</v>
      </c>
      <c r="L130" s="2">
        <v>111.3</v>
      </c>
      <c r="M130" s="2">
        <v>137.5</v>
      </c>
      <c r="N130" s="2">
        <v>125</v>
      </c>
      <c r="O130" s="2">
        <v>138.80000000000001</v>
      </c>
      <c r="P130" s="2">
        <v>138.4</v>
      </c>
      <c r="Q130" s="2">
        <v>139.30000000000001</v>
      </c>
      <c r="R130" s="2">
        <v>133.5</v>
      </c>
      <c r="S130" s="2">
        <v>127.6</v>
      </c>
      <c r="T130" s="2">
        <v>132.69999999999999</v>
      </c>
      <c r="U130" s="2">
        <v>126.4</v>
      </c>
      <c r="V130" s="2">
        <v>123.4</v>
      </c>
      <c r="W130" s="2">
        <v>126.9</v>
      </c>
      <c r="X130" s="2">
        <v>124.5</v>
      </c>
      <c r="Y130" s="2">
        <v>113.9</v>
      </c>
      <c r="Z130" s="2">
        <v>122.4</v>
      </c>
      <c r="AA130" s="2">
        <v>130.80000000000001</v>
      </c>
      <c r="AB130" s="2">
        <v>120.5</v>
      </c>
      <c r="AC130" s="2">
        <v>121.9</v>
      </c>
      <c r="AD130" s="2">
        <v>131.1</v>
      </c>
    </row>
    <row r="131" spans="1:30" ht="14.4" x14ac:dyDescent="0.3">
      <c r="A131" s="2" t="s">
        <v>30</v>
      </c>
      <c r="B131" s="2">
        <v>2016</v>
      </c>
      <c r="C131" s="2" t="s">
        <v>41</v>
      </c>
      <c r="D131" s="2">
        <v>130.1</v>
      </c>
      <c r="E131" s="2">
        <v>138.80000000000001</v>
      </c>
      <c r="F131" s="2">
        <v>130.30000000000001</v>
      </c>
      <c r="G131" s="2">
        <v>135.30000000000001</v>
      </c>
      <c r="H131" s="2">
        <v>119.9</v>
      </c>
      <c r="I131" s="2">
        <v>140.19999999999999</v>
      </c>
      <c r="J131" s="2">
        <v>156.9</v>
      </c>
      <c r="K131" s="2">
        <v>172.2</v>
      </c>
      <c r="L131" s="2">
        <v>112.1</v>
      </c>
      <c r="M131" s="2">
        <v>134.9</v>
      </c>
      <c r="N131" s="2">
        <v>128.1</v>
      </c>
      <c r="O131" s="2">
        <v>140.69999999999999</v>
      </c>
      <c r="P131" s="2">
        <v>138</v>
      </c>
      <c r="Q131" s="2">
        <v>138.9</v>
      </c>
      <c r="R131" s="2">
        <v>137.80000000000001</v>
      </c>
      <c r="S131" s="2">
        <v>133</v>
      </c>
      <c r="T131" s="2">
        <v>137.1</v>
      </c>
      <c r="U131" s="2" t="s">
        <v>32</v>
      </c>
      <c r="V131" s="2">
        <v>129.1</v>
      </c>
      <c r="W131" s="2">
        <v>130.6</v>
      </c>
      <c r="X131" s="2">
        <v>127</v>
      </c>
      <c r="Y131" s="2">
        <v>116</v>
      </c>
      <c r="Z131" s="2">
        <v>125.5</v>
      </c>
      <c r="AA131" s="2">
        <v>131.9</v>
      </c>
      <c r="AB131" s="2">
        <v>122</v>
      </c>
      <c r="AC131" s="2">
        <v>124.2</v>
      </c>
      <c r="AD131" s="2">
        <v>133.5</v>
      </c>
    </row>
    <row r="132" spans="1:30" ht="14.4" x14ac:dyDescent="0.3">
      <c r="A132" s="2" t="s">
        <v>33</v>
      </c>
      <c r="B132" s="2">
        <v>2016</v>
      </c>
      <c r="C132" s="2" t="s">
        <v>41</v>
      </c>
      <c r="D132" s="2">
        <v>127.6</v>
      </c>
      <c r="E132" s="2">
        <v>140.30000000000001</v>
      </c>
      <c r="F132" s="2">
        <v>133.69999999999999</v>
      </c>
      <c r="G132" s="2">
        <v>132.19999999999999</v>
      </c>
      <c r="H132" s="2">
        <v>111.8</v>
      </c>
      <c r="I132" s="2">
        <v>135.80000000000001</v>
      </c>
      <c r="J132" s="2">
        <v>163.5</v>
      </c>
      <c r="K132" s="2">
        <v>182.3</v>
      </c>
      <c r="L132" s="2">
        <v>114.6</v>
      </c>
      <c r="M132" s="2">
        <v>144.6</v>
      </c>
      <c r="N132" s="2">
        <v>121.9</v>
      </c>
      <c r="O132" s="2">
        <v>138.1</v>
      </c>
      <c r="P132" s="2">
        <v>137.6</v>
      </c>
      <c r="Q132" s="2">
        <v>143.6</v>
      </c>
      <c r="R132" s="2">
        <v>128.30000000000001</v>
      </c>
      <c r="S132" s="2">
        <v>121.4</v>
      </c>
      <c r="T132" s="2">
        <v>127.3</v>
      </c>
      <c r="U132" s="2">
        <v>127.3</v>
      </c>
      <c r="V132" s="2">
        <v>114.7</v>
      </c>
      <c r="W132" s="2">
        <v>123.9</v>
      </c>
      <c r="X132" s="2">
        <v>121.2</v>
      </c>
      <c r="Y132" s="2">
        <v>110.4</v>
      </c>
      <c r="Z132" s="2">
        <v>120.6</v>
      </c>
      <c r="AA132" s="2">
        <v>131.5</v>
      </c>
      <c r="AB132" s="2">
        <v>120.9</v>
      </c>
      <c r="AC132" s="2">
        <v>119.9</v>
      </c>
      <c r="AD132" s="2">
        <v>128.4</v>
      </c>
    </row>
    <row r="133" spans="1:30" ht="14.4" x14ac:dyDescent="0.3">
      <c r="A133" s="2" t="s">
        <v>34</v>
      </c>
      <c r="B133" s="2">
        <v>2016</v>
      </c>
      <c r="C133" s="2" t="s">
        <v>41</v>
      </c>
      <c r="D133" s="2">
        <v>129.30000000000001</v>
      </c>
      <c r="E133" s="2">
        <v>139.30000000000001</v>
      </c>
      <c r="F133" s="2">
        <v>131.6</v>
      </c>
      <c r="G133" s="2">
        <v>134.1</v>
      </c>
      <c r="H133" s="2">
        <v>116.9</v>
      </c>
      <c r="I133" s="2">
        <v>138.1</v>
      </c>
      <c r="J133" s="2">
        <v>159.1</v>
      </c>
      <c r="K133" s="2">
        <v>175.6</v>
      </c>
      <c r="L133" s="2">
        <v>112.9</v>
      </c>
      <c r="M133" s="2">
        <v>138.1</v>
      </c>
      <c r="N133" s="2">
        <v>125.5</v>
      </c>
      <c r="O133" s="2">
        <v>139.5</v>
      </c>
      <c r="P133" s="2">
        <v>137.9</v>
      </c>
      <c r="Q133" s="2">
        <v>140.19999999999999</v>
      </c>
      <c r="R133" s="2">
        <v>134.1</v>
      </c>
      <c r="S133" s="2">
        <v>128.19999999999999</v>
      </c>
      <c r="T133" s="2">
        <v>133.19999999999999</v>
      </c>
      <c r="U133" s="2">
        <v>127.3</v>
      </c>
      <c r="V133" s="2">
        <v>123.6</v>
      </c>
      <c r="W133" s="2">
        <v>127.4</v>
      </c>
      <c r="X133" s="2">
        <v>124.8</v>
      </c>
      <c r="Y133" s="2">
        <v>113.1</v>
      </c>
      <c r="Z133" s="2">
        <v>122.7</v>
      </c>
      <c r="AA133" s="2">
        <v>131.69999999999999</v>
      </c>
      <c r="AB133" s="2">
        <v>121.5</v>
      </c>
      <c r="AC133" s="2">
        <v>122.1</v>
      </c>
      <c r="AD133" s="2">
        <v>131.1</v>
      </c>
    </row>
    <row r="134" spans="1:30" ht="14.4" x14ac:dyDescent="0.3">
      <c r="A134" s="2" t="s">
        <v>30</v>
      </c>
      <c r="B134" s="2">
        <v>2016</v>
      </c>
      <c r="C134" s="2" t="s">
        <v>42</v>
      </c>
      <c r="D134" s="2">
        <v>130.80000000000001</v>
      </c>
      <c r="E134" s="2">
        <v>138.19999999999999</v>
      </c>
      <c r="F134" s="2">
        <v>130.5</v>
      </c>
      <c r="G134" s="2">
        <v>135.5</v>
      </c>
      <c r="H134" s="2">
        <v>120.2</v>
      </c>
      <c r="I134" s="2">
        <v>139.19999999999999</v>
      </c>
      <c r="J134" s="2">
        <v>149.5</v>
      </c>
      <c r="K134" s="2">
        <v>170.4</v>
      </c>
      <c r="L134" s="2">
        <v>113.1</v>
      </c>
      <c r="M134" s="2">
        <v>135.80000000000001</v>
      </c>
      <c r="N134" s="2">
        <v>128.80000000000001</v>
      </c>
      <c r="O134" s="2">
        <v>141.5</v>
      </c>
      <c r="P134" s="2">
        <v>137.19999999999999</v>
      </c>
      <c r="Q134" s="2">
        <v>139.9</v>
      </c>
      <c r="R134" s="2">
        <v>138.5</v>
      </c>
      <c r="S134" s="2">
        <v>133.5</v>
      </c>
      <c r="T134" s="2">
        <v>137.80000000000001</v>
      </c>
      <c r="U134" s="2" t="s">
        <v>32</v>
      </c>
      <c r="V134" s="2">
        <v>129.69999999999999</v>
      </c>
      <c r="W134" s="2">
        <v>131.1</v>
      </c>
      <c r="X134" s="2">
        <v>127.8</v>
      </c>
      <c r="Y134" s="2">
        <v>117</v>
      </c>
      <c r="Z134" s="2">
        <v>125.7</v>
      </c>
      <c r="AA134" s="2">
        <v>132.19999999999999</v>
      </c>
      <c r="AB134" s="2">
        <v>122.8</v>
      </c>
      <c r="AC134" s="2">
        <v>124.9</v>
      </c>
      <c r="AD134" s="2">
        <v>133.4</v>
      </c>
    </row>
    <row r="135" spans="1:30" ht="14.4" x14ac:dyDescent="0.3">
      <c r="A135" s="2" t="s">
        <v>33</v>
      </c>
      <c r="B135" s="2">
        <v>2016</v>
      </c>
      <c r="C135" s="2" t="s">
        <v>42</v>
      </c>
      <c r="D135" s="2">
        <v>128.1</v>
      </c>
      <c r="E135" s="2">
        <v>137.69999999999999</v>
      </c>
      <c r="F135" s="2">
        <v>130.6</v>
      </c>
      <c r="G135" s="2">
        <v>132.6</v>
      </c>
      <c r="H135" s="2">
        <v>111.9</v>
      </c>
      <c r="I135" s="2">
        <v>132.5</v>
      </c>
      <c r="J135" s="2">
        <v>152.9</v>
      </c>
      <c r="K135" s="2">
        <v>173.6</v>
      </c>
      <c r="L135" s="2">
        <v>115.1</v>
      </c>
      <c r="M135" s="2">
        <v>144.80000000000001</v>
      </c>
      <c r="N135" s="2">
        <v>122.1</v>
      </c>
      <c r="O135" s="2">
        <v>138.80000000000001</v>
      </c>
      <c r="P135" s="2">
        <v>135.69999999999999</v>
      </c>
      <c r="Q135" s="2">
        <v>143.9</v>
      </c>
      <c r="R135" s="2">
        <v>128.69999999999999</v>
      </c>
      <c r="S135" s="2">
        <v>121.6</v>
      </c>
      <c r="T135" s="2">
        <v>127.7</v>
      </c>
      <c r="U135" s="2">
        <v>127.9</v>
      </c>
      <c r="V135" s="2">
        <v>114.8</v>
      </c>
      <c r="W135" s="2">
        <v>124.3</v>
      </c>
      <c r="X135" s="2">
        <v>121.4</v>
      </c>
      <c r="Y135" s="2">
        <v>111.8</v>
      </c>
      <c r="Z135" s="2">
        <v>120.8</v>
      </c>
      <c r="AA135" s="2">
        <v>131.6</v>
      </c>
      <c r="AB135" s="2">
        <v>121.2</v>
      </c>
      <c r="AC135" s="2">
        <v>120.5</v>
      </c>
      <c r="AD135" s="2">
        <v>128</v>
      </c>
    </row>
    <row r="136" spans="1:30" ht="14.4" x14ac:dyDescent="0.3">
      <c r="A136" s="2" t="s">
        <v>34</v>
      </c>
      <c r="B136" s="2">
        <v>2016</v>
      </c>
      <c r="C136" s="2" t="s">
        <v>42</v>
      </c>
      <c r="D136" s="2">
        <v>129.9</v>
      </c>
      <c r="E136" s="2">
        <v>138</v>
      </c>
      <c r="F136" s="2">
        <v>130.5</v>
      </c>
      <c r="G136" s="2">
        <v>134.4</v>
      </c>
      <c r="H136" s="2">
        <v>117.2</v>
      </c>
      <c r="I136" s="2">
        <v>136.1</v>
      </c>
      <c r="J136" s="2">
        <v>150.69999999999999</v>
      </c>
      <c r="K136" s="2">
        <v>171.5</v>
      </c>
      <c r="L136" s="2">
        <v>113.8</v>
      </c>
      <c r="M136" s="2">
        <v>138.80000000000001</v>
      </c>
      <c r="N136" s="2">
        <v>126</v>
      </c>
      <c r="O136" s="2">
        <v>140.19999999999999</v>
      </c>
      <c r="P136" s="2">
        <v>136.6</v>
      </c>
      <c r="Q136" s="2">
        <v>141</v>
      </c>
      <c r="R136" s="2">
        <v>134.6</v>
      </c>
      <c r="S136" s="2">
        <v>128.6</v>
      </c>
      <c r="T136" s="2">
        <v>133.80000000000001</v>
      </c>
      <c r="U136" s="2">
        <v>127.9</v>
      </c>
      <c r="V136" s="2">
        <v>124.1</v>
      </c>
      <c r="W136" s="2">
        <v>127.9</v>
      </c>
      <c r="X136" s="2">
        <v>125.4</v>
      </c>
      <c r="Y136" s="2">
        <v>114.3</v>
      </c>
      <c r="Z136" s="2">
        <v>122.9</v>
      </c>
      <c r="AA136" s="2">
        <v>131.80000000000001</v>
      </c>
      <c r="AB136" s="2">
        <v>122.1</v>
      </c>
      <c r="AC136" s="2">
        <v>122.8</v>
      </c>
      <c r="AD136" s="2">
        <v>130.9</v>
      </c>
    </row>
    <row r="137" spans="1:30" ht="14.4" x14ac:dyDescent="0.3">
      <c r="A137" s="2" t="s">
        <v>30</v>
      </c>
      <c r="B137" s="2">
        <v>2016</v>
      </c>
      <c r="C137" s="2" t="s">
        <v>43</v>
      </c>
      <c r="D137" s="2">
        <v>131.30000000000001</v>
      </c>
      <c r="E137" s="2">
        <v>137.6</v>
      </c>
      <c r="F137" s="2">
        <v>130.1</v>
      </c>
      <c r="G137" s="2">
        <v>136</v>
      </c>
      <c r="H137" s="2">
        <v>120.8</v>
      </c>
      <c r="I137" s="2">
        <v>138.4</v>
      </c>
      <c r="J137" s="2">
        <v>149.19999999999999</v>
      </c>
      <c r="K137" s="2">
        <v>170.2</v>
      </c>
      <c r="L137" s="2">
        <v>113.4</v>
      </c>
      <c r="M137" s="2">
        <v>136.30000000000001</v>
      </c>
      <c r="N137" s="2">
        <v>128.69999999999999</v>
      </c>
      <c r="O137" s="2">
        <v>142.4</v>
      </c>
      <c r="P137" s="2">
        <v>137.4</v>
      </c>
      <c r="Q137" s="2">
        <v>140.9</v>
      </c>
      <c r="R137" s="2">
        <v>139.6</v>
      </c>
      <c r="S137" s="2">
        <v>134.30000000000001</v>
      </c>
      <c r="T137" s="2">
        <v>138.80000000000001</v>
      </c>
      <c r="U137" s="2" t="s">
        <v>32</v>
      </c>
      <c r="V137" s="2">
        <v>129.80000000000001</v>
      </c>
      <c r="W137" s="2">
        <v>131.80000000000001</v>
      </c>
      <c r="X137" s="2">
        <v>128.69999999999999</v>
      </c>
      <c r="Y137" s="2">
        <v>117.8</v>
      </c>
      <c r="Z137" s="2">
        <v>126.5</v>
      </c>
      <c r="AA137" s="2">
        <v>133</v>
      </c>
      <c r="AB137" s="2">
        <v>123</v>
      </c>
      <c r="AC137" s="2">
        <v>125.7</v>
      </c>
      <c r="AD137" s="2">
        <v>133.80000000000001</v>
      </c>
    </row>
    <row r="138" spans="1:30" ht="14.4" x14ac:dyDescent="0.3">
      <c r="A138" s="2" t="s">
        <v>33</v>
      </c>
      <c r="B138" s="2">
        <v>2016</v>
      </c>
      <c r="C138" s="2" t="s">
        <v>43</v>
      </c>
      <c r="D138" s="2">
        <v>128.69999999999999</v>
      </c>
      <c r="E138" s="2">
        <v>138.4</v>
      </c>
      <c r="F138" s="2">
        <v>130.30000000000001</v>
      </c>
      <c r="G138" s="2">
        <v>132.69999999999999</v>
      </c>
      <c r="H138" s="2">
        <v>112.5</v>
      </c>
      <c r="I138" s="2">
        <v>130.4</v>
      </c>
      <c r="J138" s="2">
        <v>155.1</v>
      </c>
      <c r="K138" s="2">
        <v>175.7</v>
      </c>
      <c r="L138" s="2">
        <v>115.4</v>
      </c>
      <c r="M138" s="2">
        <v>145.30000000000001</v>
      </c>
      <c r="N138" s="2">
        <v>122.5</v>
      </c>
      <c r="O138" s="2">
        <v>139.6</v>
      </c>
      <c r="P138" s="2">
        <v>136.30000000000001</v>
      </c>
      <c r="Q138" s="2">
        <v>144.30000000000001</v>
      </c>
      <c r="R138" s="2">
        <v>129.1</v>
      </c>
      <c r="S138" s="2">
        <v>121.9</v>
      </c>
      <c r="T138" s="2">
        <v>128</v>
      </c>
      <c r="U138" s="2">
        <v>128.69999999999999</v>
      </c>
      <c r="V138" s="2">
        <v>115.2</v>
      </c>
      <c r="W138" s="2">
        <v>124.5</v>
      </c>
      <c r="X138" s="2">
        <v>121.8</v>
      </c>
      <c r="Y138" s="2">
        <v>112.8</v>
      </c>
      <c r="Z138" s="2">
        <v>121.2</v>
      </c>
      <c r="AA138" s="2">
        <v>131.9</v>
      </c>
      <c r="AB138" s="2">
        <v>120.8</v>
      </c>
      <c r="AC138" s="2">
        <v>120.9</v>
      </c>
      <c r="AD138" s="2">
        <v>128.6</v>
      </c>
    </row>
    <row r="139" spans="1:30" ht="14.4" x14ac:dyDescent="0.3">
      <c r="A139" s="2" t="s">
        <v>34</v>
      </c>
      <c r="B139" s="2">
        <v>2016</v>
      </c>
      <c r="C139" s="2" t="s">
        <v>43</v>
      </c>
      <c r="D139" s="2">
        <v>130.5</v>
      </c>
      <c r="E139" s="2">
        <v>137.9</v>
      </c>
      <c r="F139" s="2">
        <v>130.19999999999999</v>
      </c>
      <c r="G139" s="2">
        <v>134.80000000000001</v>
      </c>
      <c r="H139" s="2">
        <v>117.8</v>
      </c>
      <c r="I139" s="2">
        <v>134.69999999999999</v>
      </c>
      <c r="J139" s="2">
        <v>151.19999999999999</v>
      </c>
      <c r="K139" s="2">
        <v>172.1</v>
      </c>
      <c r="L139" s="2">
        <v>114.1</v>
      </c>
      <c r="M139" s="2">
        <v>139.30000000000001</v>
      </c>
      <c r="N139" s="2">
        <v>126.1</v>
      </c>
      <c r="O139" s="2">
        <v>141.1</v>
      </c>
      <c r="P139" s="2">
        <v>137</v>
      </c>
      <c r="Q139" s="2">
        <v>141.80000000000001</v>
      </c>
      <c r="R139" s="2">
        <v>135.5</v>
      </c>
      <c r="S139" s="2">
        <v>129.1</v>
      </c>
      <c r="T139" s="2">
        <v>134.5</v>
      </c>
      <c r="U139" s="2">
        <v>128.69999999999999</v>
      </c>
      <c r="V139" s="2">
        <v>124.3</v>
      </c>
      <c r="W139" s="2">
        <v>128.4</v>
      </c>
      <c r="X139" s="2">
        <v>126.1</v>
      </c>
      <c r="Y139" s="2">
        <v>115.2</v>
      </c>
      <c r="Z139" s="2">
        <v>123.5</v>
      </c>
      <c r="AA139" s="2">
        <v>132.4</v>
      </c>
      <c r="AB139" s="2">
        <v>122.1</v>
      </c>
      <c r="AC139" s="2">
        <v>123.4</v>
      </c>
      <c r="AD139" s="2">
        <v>131.4</v>
      </c>
    </row>
    <row r="140" spans="1:30" ht="14.4" x14ac:dyDescent="0.3">
      <c r="A140" s="2" t="s">
        <v>30</v>
      </c>
      <c r="B140" s="2">
        <v>2016</v>
      </c>
      <c r="C140" s="2" t="s">
        <v>44</v>
      </c>
      <c r="D140" s="2">
        <v>132</v>
      </c>
      <c r="E140" s="2">
        <v>137.4</v>
      </c>
      <c r="F140" s="2">
        <v>130.6</v>
      </c>
      <c r="G140" s="2">
        <v>136.19999999999999</v>
      </c>
      <c r="H140" s="2">
        <v>121.1</v>
      </c>
      <c r="I140" s="2">
        <v>136.9</v>
      </c>
      <c r="J140" s="2">
        <v>141.80000000000001</v>
      </c>
      <c r="K140" s="2">
        <v>170</v>
      </c>
      <c r="L140" s="2">
        <v>113.4</v>
      </c>
      <c r="M140" s="2">
        <v>136.80000000000001</v>
      </c>
      <c r="N140" s="2">
        <v>128.69999999999999</v>
      </c>
      <c r="O140" s="2">
        <v>143.1</v>
      </c>
      <c r="P140" s="2">
        <v>136.6</v>
      </c>
      <c r="Q140" s="2">
        <v>141.19999999999999</v>
      </c>
      <c r="R140" s="2">
        <v>139.9</v>
      </c>
      <c r="S140" s="2">
        <v>134.5</v>
      </c>
      <c r="T140" s="2">
        <v>139.19999999999999</v>
      </c>
      <c r="U140" s="2" t="s">
        <v>32</v>
      </c>
      <c r="V140" s="2">
        <v>130.30000000000001</v>
      </c>
      <c r="W140" s="2">
        <v>132.1</v>
      </c>
      <c r="X140" s="2">
        <v>129.1</v>
      </c>
      <c r="Y140" s="2">
        <v>118.2</v>
      </c>
      <c r="Z140" s="2">
        <v>126.9</v>
      </c>
      <c r="AA140" s="2">
        <v>133.69999999999999</v>
      </c>
      <c r="AB140" s="2">
        <v>123.5</v>
      </c>
      <c r="AC140" s="2">
        <v>126.1</v>
      </c>
      <c r="AD140" s="2">
        <v>133.6</v>
      </c>
    </row>
    <row r="141" spans="1:30" ht="14.4" x14ac:dyDescent="0.3">
      <c r="A141" s="2" t="s">
        <v>33</v>
      </c>
      <c r="B141" s="2">
        <v>2016</v>
      </c>
      <c r="C141" s="2" t="s">
        <v>44</v>
      </c>
      <c r="D141" s="2">
        <v>130.19999999999999</v>
      </c>
      <c r="E141" s="2">
        <v>138.5</v>
      </c>
      <c r="F141" s="2">
        <v>134.1</v>
      </c>
      <c r="G141" s="2">
        <v>132.9</v>
      </c>
      <c r="H141" s="2">
        <v>112.6</v>
      </c>
      <c r="I141" s="2">
        <v>130.80000000000001</v>
      </c>
      <c r="J141" s="2">
        <v>142</v>
      </c>
      <c r="K141" s="2">
        <v>174.9</v>
      </c>
      <c r="L141" s="2">
        <v>115.6</v>
      </c>
      <c r="M141" s="2">
        <v>145.4</v>
      </c>
      <c r="N141" s="2">
        <v>122.7</v>
      </c>
      <c r="O141" s="2">
        <v>140.30000000000001</v>
      </c>
      <c r="P141" s="2">
        <v>135.19999999999999</v>
      </c>
      <c r="Q141" s="2">
        <v>144.30000000000001</v>
      </c>
      <c r="R141" s="2">
        <v>129.6</v>
      </c>
      <c r="S141" s="2">
        <v>122.1</v>
      </c>
      <c r="T141" s="2">
        <v>128.5</v>
      </c>
      <c r="U141" s="2">
        <v>129.1</v>
      </c>
      <c r="V141" s="2">
        <v>116.2</v>
      </c>
      <c r="W141" s="2">
        <v>124.7</v>
      </c>
      <c r="X141" s="2">
        <v>122.1</v>
      </c>
      <c r="Y141" s="2">
        <v>113.4</v>
      </c>
      <c r="Z141" s="2">
        <v>121.7</v>
      </c>
      <c r="AA141" s="2">
        <v>132.1</v>
      </c>
      <c r="AB141" s="2">
        <v>121.3</v>
      </c>
      <c r="AC141" s="2">
        <v>121.3</v>
      </c>
      <c r="AD141" s="2">
        <v>128.5</v>
      </c>
    </row>
    <row r="142" spans="1:30" ht="14.4" x14ac:dyDescent="0.3">
      <c r="A142" s="2" t="s">
        <v>34</v>
      </c>
      <c r="B142" s="2">
        <v>2016</v>
      </c>
      <c r="C142" s="2" t="s">
        <v>44</v>
      </c>
      <c r="D142" s="2">
        <v>131.4</v>
      </c>
      <c r="E142" s="2">
        <v>137.80000000000001</v>
      </c>
      <c r="F142" s="2">
        <v>132</v>
      </c>
      <c r="G142" s="2">
        <v>135</v>
      </c>
      <c r="H142" s="2">
        <v>118</v>
      </c>
      <c r="I142" s="2">
        <v>134.1</v>
      </c>
      <c r="J142" s="2">
        <v>141.9</v>
      </c>
      <c r="K142" s="2">
        <v>171.7</v>
      </c>
      <c r="L142" s="2">
        <v>114.1</v>
      </c>
      <c r="M142" s="2">
        <v>139.69999999999999</v>
      </c>
      <c r="N142" s="2">
        <v>126.2</v>
      </c>
      <c r="O142" s="2">
        <v>141.80000000000001</v>
      </c>
      <c r="P142" s="2">
        <v>136.1</v>
      </c>
      <c r="Q142" s="2">
        <v>142</v>
      </c>
      <c r="R142" s="2">
        <v>135.80000000000001</v>
      </c>
      <c r="S142" s="2">
        <v>129.30000000000001</v>
      </c>
      <c r="T142" s="2">
        <v>135</v>
      </c>
      <c r="U142" s="2">
        <v>129.1</v>
      </c>
      <c r="V142" s="2">
        <v>125</v>
      </c>
      <c r="W142" s="2">
        <v>128.6</v>
      </c>
      <c r="X142" s="2">
        <v>126.4</v>
      </c>
      <c r="Y142" s="2">
        <v>115.7</v>
      </c>
      <c r="Z142" s="2">
        <v>124</v>
      </c>
      <c r="AA142" s="2">
        <v>132.80000000000001</v>
      </c>
      <c r="AB142" s="2">
        <v>122.6</v>
      </c>
      <c r="AC142" s="2">
        <v>123.8</v>
      </c>
      <c r="AD142" s="2">
        <v>131.19999999999999</v>
      </c>
    </row>
    <row r="143" spans="1:30" ht="14.4" x14ac:dyDescent="0.3">
      <c r="A143" s="2" t="s">
        <v>30</v>
      </c>
      <c r="B143" s="2">
        <v>2016</v>
      </c>
      <c r="C143" s="2" t="s">
        <v>45</v>
      </c>
      <c r="D143" s="2">
        <v>132.6</v>
      </c>
      <c r="E143" s="2">
        <v>137.30000000000001</v>
      </c>
      <c r="F143" s="2">
        <v>131.6</v>
      </c>
      <c r="G143" s="2">
        <v>136.30000000000001</v>
      </c>
      <c r="H143" s="2">
        <v>121.6</v>
      </c>
      <c r="I143" s="2">
        <v>135.6</v>
      </c>
      <c r="J143" s="2">
        <v>127.5</v>
      </c>
      <c r="K143" s="2">
        <v>167.9</v>
      </c>
      <c r="L143" s="2">
        <v>113.8</v>
      </c>
      <c r="M143" s="2">
        <v>137.5</v>
      </c>
      <c r="N143" s="2">
        <v>129.1</v>
      </c>
      <c r="O143" s="2">
        <v>143.6</v>
      </c>
      <c r="P143" s="2">
        <v>134.69999999999999</v>
      </c>
      <c r="Q143" s="2">
        <v>142.4</v>
      </c>
      <c r="R143" s="2">
        <v>140.4</v>
      </c>
      <c r="S143" s="2">
        <v>135.19999999999999</v>
      </c>
      <c r="T143" s="2">
        <v>139.69999999999999</v>
      </c>
      <c r="U143" s="2" t="s">
        <v>32</v>
      </c>
      <c r="V143" s="2">
        <v>132</v>
      </c>
      <c r="W143" s="2">
        <v>132.9</v>
      </c>
      <c r="X143" s="2">
        <v>129.69999999999999</v>
      </c>
      <c r="Y143" s="2">
        <v>118.6</v>
      </c>
      <c r="Z143" s="2">
        <v>127.3</v>
      </c>
      <c r="AA143" s="2">
        <v>134.19999999999999</v>
      </c>
      <c r="AB143" s="2">
        <v>121.9</v>
      </c>
      <c r="AC143" s="2">
        <v>126.3</v>
      </c>
      <c r="AD143" s="2">
        <v>132.80000000000001</v>
      </c>
    </row>
    <row r="144" spans="1:30" ht="14.4" x14ac:dyDescent="0.3">
      <c r="A144" s="2" t="s">
        <v>33</v>
      </c>
      <c r="B144" s="2">
        <v>2016</v>
      </c>
      <c r="C144" s="2" t="s">
        <v>45</v>
      </c>
      <c r="D144" s="2">
        <v>131.6</v>
      </c>
      <c r="E144" s="2">
        <v>138.19999999999999</v>
      </c>
      <c r="F144" s="2">
        <v>134.9</v>
      </c>
      <c r="G144" s="2">
        <v>133.1</v>
      </c>
      <c r="H144" s="2">
        <v>113.5</v>
      </c>
      <c r="I144" s="2">
        <v>129.30000000000001</v>
      </c>
      <c r="J144" s="2">
        <v>121.1</v>
      </c>
      <c r="K144" s="2">
        <v>170.3</v>
      </c>
      <c r="L144" s="2">
        <v>115.5</v>
      </c>
      <c r="M144" s="2">
        <v>145.5</v>
      </c>
      <c r="N144" s="2">
        <v>123.1</v>
      </c>
      <c r="O144" s="2">
        <v>140.9</v>
      </c>
      <c r="P144" s="2">
        <v>132.80000000000001</v>
      </c>
      <c r="Q144" s="2">
        <v>145</v>
      </c>
      <c r="R144" s="2">
        <v>130</v>
      </c>
      <c r="S144" s="2">
        <v>122.2</v>
      </c>
      <c r="T144" s="2">
        <v>128.80000000000001</v>
      </c>
      <c r="U144" s="2">
        <v>128.5</v>
      </c>
      <c r="V144" s="2">
        <v>117.8</v>
      </c>
      <c r="W144" s="2">
        <v>125</v>
      </c>
      <c r="X144" s="2">
        <v>122.3</v>
      </c>
      <c r="Y144" s="2">
        <v>113.7</v>
      </c>
      <c r="Z144" s="2">
        <v>121.8</v>
      </c>
      <c r="AA144" s="2">
        <v>132.30000000000001</v>
      </c>
      <c r="AB144" s="2">
        <v>119.9</v>
      </c>
      <c r="AC144" s="2">
        <v>121.4</v>
      </c>
      <c r="AD144" s="2">
        <v>127.6</v>
      </c>
    </row>
    <row r="145" spans="1:30" ht="14.4" x14ac:dyDescent="0.3">
      <c r="A145" s="2" t="s">
        <v>34</v>
      </c>
      <c r="B145" s="2">
        <v>2016</v>
      </c>
      <c r="C145" s="2" t="s">
        <v>45</v>
      </c>
      <c r="D145" s="2">
        <v>132.30000000000001</v>
      </c>
      <c r="E145" s="2">
        <v>137.6</v>
      </c>
      <c r="F145" s="2">
        <v>132.9</v>
      </c>
      <c r="G145" s="2">
        <v>135.1</v>
      </c>
      <c r="H145" s="2">
        <v>118.6</v>
      </c>
      <c r="I145" s="2">
        <v>132.69999999999999</v>
      </c>
      <c r="J145" s="2">
        <v>125.3</v>
      </c>
      <c r="K145" s="2">
        <v>168.7</v>
      </c>
      <c r="L145" s="2">
        <v>114.4</v>
      </c>
      <c r="M145" s="2">
        <v>140.19999999999999</v>
      </c>
      <c r="N145" s="2">
        <v>126.6</v>
      </c>
      <c r="O145" s="2">
        <v>142.30000000000001</v>
      </c>
      <c r="P145" s="2">
        <v>134</v>
      </c>
      <c r="Q145" s="2">
        <v>143.1</v>
      </c>
      <c r="R145" s="2">
        <v>136.30000000000001</v>
      </c>
      <c r="S145" s="2">
        <v>129.80000000000001</v>
      </c>
      <c r="T145" s="2">
        <v>135.4</v>
      </c>
      <c r="U145" s="2">
        <v>128.5</v>
      </c>
      <c r="V145" s="2">
        <v>126.6</v>
      </c>
      <c r="W145" s="2">
        <v>129.19999999999999</v>
      </c>
      <c r="X145" s="2">
        <v>126.9</v>
      </c>
      <c r="Y145" s="2">
        <v>116</v>
      </c>
      <c r="Z145" s="2">
        <v>124.2</v>
      </c>
      <c r="AA145" s="2">
        <v>133.1</v>
      </c>
      <c r="AB145" s="2">
        <v>121.1</v>
      </c>
      <c r="AC145" s="2">
        <v>123.9</v>
      </c>
      <c r="AD145" s="2">
        <v>130.4</v>
      </c>
    </row>
    <row r="146" spans="1:30" ht="14.4" x14ac:dyDescent="0.3">
      <c r="A146" s="2" t="s">
        <v>30</v>
      </c>
      <c r="B146" s="2">
        <v>2017</v>
      </c>
      <c r="C146" s="2" t="s">
        <v>31</v>
      </c>
      <c r="D146" s="2">
        <v>133.1</v>
      </c>
      <c r="E146" s="2">
        <v>137.80000000000001</v>
      </c>
      <c r="F146" s="2">
        <v>131.9</v>
      </c>
      <c r="G146" s="2">
        <v>136.69999999999999</v>
      </c>
      <c r="H146" s="2">
        <v>122</v>
      </c>
      <c r="I146" s="2">
        <v>136</v>
      </c>
      <c r="J146" s="2">
        <v>119.8</v>
      </c>
      <c r="K146" s="2">
        <v>161.69999999999999</v>
      </c>
      <c r="L146" s="2">
        <v>114.8</v>
      </c>
      <c r="M146" s="2">
        <v>136.9</v>
      </c>
      <c r="N146" s="2">
        <v>129</v>
      </c>
      <c r="O146" s="2">
        <v>143.9</v>
      </c>
      <c r="P146" s="2">
        <v>133.69999999999999</v>
      </c>
      <c r="Q146" s="2">
        <v>143.1</v>
      </c>
      <c r="R146" s="2">
        <v>140.69999999999999</v>
      </c>
      <c r="S146" s="2">
        <v>135.80000000000001</v>
      </c>
      <c r="T146" s="2">
        <v>140</v>
      </c>
      <c r="U146" s="2" t="s">
        <v>32</v>
      </c>
      <c r="V146" s="2">
        <v>132.1</v>
      </c>
      <c r="W146" s="2">
        <v>133.19999999999999</v>
      </c>
      <c r="X146" s="2">
        <v>129.9</v>
      </c>
      <c r="Y146" s="2">
        <v>119.1</v>
      </c>
      <c r="Z146" s="2">
        <v>127</v>
      </c>
      <c r="AA146" s="2">
        <v>134.6</v>
      </c>
      <c r="AB146" s="2">
        <v>122.3</v>
      </c>
      <c r="AC146" s="2">
        <v>126.6</v>
      </c>
      <c r="AD146" s="2">
        <v>132.4</v>
      </c>
    </row>
    <row r="147" spans="1:30" ht="14.4" x14ac:dyDescent="0.3">
      <c r="A147" s="2" t="s">
        <v>33</v>
      </c>
      <c r="B147" s="2">
        <v>2017</v>
      </c>
      <c r="C147" s="2" t="s">
        <v>31</v>
      </c>
      <c r="D147" s="2">
        <v>132.19999999999999</v>
      </c>
      <c r="E147" s="2">
        <v>138.9</v>
      </c>
      <c r="F147" s="2">
        <v>132.6</v>
      </c>
      <c r="G147" s="2">
        <v>133.1</v>
      </c>
      <c r="H147" s="2">
        <v>114</v>
      </c>
      <c r="I147" s="2">
        <v>129.6</v>
      </c>
      <c r="J147" s="2">
        <v>118.7</v>
      </c>
      <c r="K147" s="2">
        <v>155.1</v>
      </c>
      <c r="L147" s="2">
        <v>117.3</v>
      </c>
      <c r="M147" s="2">
        <v>144.9</v>
      </c>
      <c r="N147" s="2">
        <v>123.2</v>
      </c>
      <c r="O147" s="2">
        <v>141.6</v>
      </c>
      <c r="P147" s="2">
        <v>132</v>
      </c>
      <c r="Q147" s="2">
        <v>145.6</v>
      </c>
      <c r="R147" s="2">
        <v>130.19999999999999</v>
      </c>
      <c r="S147" s="2">
        <v>122.3</v>
      </c>
      <c r="T147" s="2">
        <v>129</v>
      </c>
      <c r="U147" s="2">
        <v>129.6</v>
      </c>
      <c r="V147" s="2">
        <v>118</v>
      </c>
      <c r="W147" s="2">
        <v>125.1</v>
      </c>
      <c r="X147" s="2">
        <v>122.6</v>
      </c>
      <c r="Y147" s="2">
        <v>115.2</v>
      </c>
      <c r="Z147" s="2">
        <v>122</v>
      </c>
      <c r="AA147" s="2">
        <v>132.4</v>
      </c>
      <c r="AB147" s="2">
        <v>120.9</v>
      </c>
      <c r="AC147" s="2">
        <v>122.1</v>
      </c>
      <c r="AD147" s="2">
        <v>127.8</v>
      </c>
    </row>
    <row r="148" spans="1:30" ht="14.4" x14ac:dyDescent="0.3">
      <c r="A148" s="2" t="s">
        <v>34</v>
      </c>
      <c r="B148" s="2">
        <v>2017</v>
      </c>
      <c r="C148" s="2" t="s">
        <v>31</v>
      </c>
      <c r="D148" s="2">
        <v>132.80000000000001</v>
      </c>
      <c r="E148" s="2">
        <v>138.19999999999999</v>
      </c>
      <c r="F148" s="2">
        <v>132.19999999999999</v>
      </c>
      <c r="G148" s="2">
        <v>135.4</v>
      </c>
      <c r="H148" s="2">
        <v>119.1</v>
      </c>
      <c r="I148" s="2">
        <v>133</v>
      </c>
      <c r="J148" s="2">
        <v>119.4</v>
      </c>
      <c r="K148" s="2">
        <v>159.5</v>
      </c>
      <c r="L148" s="2">
        <v>115.6</v>
      </c>
      <c r="M148" s="2">
        <v>139.6</v>
      </c>
      <c r="N148" s="2">
        <v>126.6</v>
      </c>
      <c r="O148" s="2">
        <v>142.80000000000001</v>
      </c>
      <c r="P148" s="2">
        <v>133.1</v>
      </c>
      <c r="Q148" s="2">
        <v>143.80000000000001</v>
      </c>
      <c r="R148" s="2">
        <v>136.6</v>
      </c>
      <c r="S148" s="2">
        <v>130.19999999999999</v>
      </c>
      <c r="T148" s="2">
        <v>135.6</v>
      </c>
      <c r="U148" s="2">
        <v>129.6</v>
      </c>
      <c r="V148" s="2">
        <v>126.8</v>
      </c>
      <c r="W148" s="2">
        <v>129.4</v>
      </c>
      <c r="X148" s="2">
        <v>127.1</v>
      </c>
      <c r="Y148" s="2">
        <v>117</v>
      </c>
      <c r="Z148" s="2">
        <v>124.2</v>
      </c>
      <c r="AA148" s="2">
        <v>133.30000000000001</v>
      </c>
      <c r="AB148" s="2">
        <v>121.7</v>
      </c>
      <c r="AC148" s="2">
        <v>124.4</v>
      </c>
      <c r="AD148" s="2">
        <v>130.30000000000001</v>
      </c>
    </row>
    <row r="149" spans="1:30" ht="14.4" x14ac:dyDescent="0.3">
      <c r="A149" s="2" t="s">
        <v>30</v>
      </c>
      <c r="B149" s="2">
        <v>2017</v>
      </c>
      <c r="C149" s="2" t="s">
        <v>35</v>
      </c>
      <c r="D149" s="2">
        <v>133.30000000000001</v>
      </c>
      <c r="E149" s="2">
        <v>138.30000000000001</v>
      </c>
      <c r="F149" s="2">
        <v>129.30000000000001</v>
      </c>
      <c r="G149" s="2">
        <v>137.19999999999999</v>
      </c>
      <c r="H149" s="2">
        <v>122.1</v>
      </c>
      <c r="I149" s="2">
        <v>138.69999999999999</v>
      </c>
      <c r="J149" s="2">
        <v>119.1</v>
      </c>
      <c r="K149" s="2">
        <v>156.9</v>
      </c>
      <c r="L149" s="2">
        <v>116.2</v>
      </c>
      <c r="M149" s="2">
        <v>136</v>
      </c>
      <c r="N149" s="2">
        <v>129.4</v>
      </c>
      <c r="O149" s="2">
        <v>144.4</v>
      </c>
      <c r="P149" s="2">
        <v>133.6</v>
      </c>
      <c r="Q149" s="2">
        <v>143.69999999999999</v>
      </c>
      <c r="R149" s="2">
        <v>140.9</v>
      </c>
      <c r="S149" s="2">
        <v>135.80000000000001</v>
      </c>
      <c r="T149" s="2">
        <v>140.19999999999999</v>
      </c>
      <c r="U149" s="2" t="s">
        <v>32</v>
      </c>
      <c r="V149" s="2">
        <v>133.19999999999999</v>
      </c>
      <c r="W149" s="2">
        <v>133.6</v>
      </c>
      <c r="X149" s="2">
        <v>130.1</v>
      </c>
      <c r="Y149" s="2">
        <v>119.5</v>
      </c>
      <c r="Z149" s="2">
        <v>127.7</v>
      </c>
      <c r="AA149" s="2">
        <v>134.9</v>
      </c>
      <c r="AB149" s="2">
        <v>123.2</v>
      </c>
      <c r="AC149" s="2">
        <v>127</v>
      </c>
      <c r="AD149" s="2">
        <v>132.6</v>
      </c>
    </row>
    <row r="150" spans="1:30" ht="14.4" x14ac:dyDescent="0.3">
      <c r="A150" s="2" t="s">
        <v>33</v>
      </c>
      <c r="B150" s="2">
        <v>2017</v>
      </c>
      <c r="C150" s="2" t="s">
        <v>35</v>
      </c>
      <c r="D150" s="2">
        <v>132.80000000000001</v>
      </c>
      <c r="E150" s="2">
        <v>139.80000000000001</v>
      </c>
      <c r="F150" s="2">
        <v>129.30000000000001</v>
      </c>
      <c r="G150" s="2">
        <v>133.5</v>
      </c>
      <c r="H150" s="2">
        <v>114.3</v>
      </c>
      <c r="I150" s="2">
        <v>131.4</v>
      </c>
      <c r="J150" s="2">
        <v>120.2</v>
      </c>
      <c r="K150" s="2">
        <v>143.1</v>
      </c>
      <c r="L150" s="2">
        <v>119.5</v>
      </c>
      <c r="M150" s="2">
        <v>144</v>
      </c>
      <c r="N150" s="2">
        <v>123.4</v>
      </c>
      <c r="O150" s="2">
        <v>141.9</v>
      </c>
      <c r="P150" s="2">
        <v>132.1</v>
      </c>
      <c r="Q150" s="2">
        <v>146.30000000000001</v>
      </c>
      <c r="R150" s="2">
        <v>130.5</v>
      </c>
      <c r="S150" s="2">
        <v>122.5</v>
      </c>
      <c r="T150" s="2">
        <v>129.30000000000001</v>
      </c>
      <c r="U150" s="2">
        <v>130.5</v>
      </c>
      <c r="V150" s="2">
        <v>119.2</v>
      </c>
      <c r="W150" s="2">
        <v>125.3</v>
      </c>
      <c r="X150" s="2">
        <v>122.9</v>
      </c>
      <c r="Y150" s="2">
        <v>115.5</v>
      </c>
      <c r="Z150" s="2">
        <v>122.2</v>
      </c>
      <c r="AA150" s="2">
        <v>132.4</v>
      </c>
      <c r="AB150" s="2">
        <v>121.7</v>
      </c>
      <c r="AC150" s="2">
        <v>122.4</v>
      </c>
      <c r="AD150" s="2">
        <v>128.19999999999999</v>
      </c>
    </row>
    <row r="151" spans="1:30" ht="14.4" x14ac:dyDescent="0.3">
      <c r="A151" s="2" t="s">
        <v>34</v>
      </c>
      <c r="B151" s="2">
        <v>2017</v>
      </c>
      <c r="C151" s="2" t="s">
        <v>35</v>
      </c>
      <c r="D151" s="2">
        <v>133.1</v>
      </c>
      <c r="E151" s="2">
        <v>138.80000000000001</v>
      </c>
      <c r="F151" s="2">
        <v>129.30000000000001</v>
      </c>
      <c r="G151" s="2">
        <v>135.80000000000001</v>
      </c>
      <c r="H151" s="2">
        <v>119.2</v>
      </c>
      <c r="I151" s="2">
        <v>135.30000000000001</v>
      </c>
      <c r="J151" s="2">
        <v>119.5</v>
      </c>
      <c r="K151" s="2">
        <v>152.19999999999999</v>
      </c>
      <c r="L151" s="2">
        <v>117.3</v>
      </c>
      <c r="M151" s="2">
        <v>138.69999999999999</v>
      </c>
      <c r="N151" s="2">
        <v>126.9</v>
      </c>
      <c r="O151" s="2">
        <v>143.19999999999999</v>
      </c>
      <c r="P151" s="2">
        <v>133</v>
      </c>
      <c r="Q151" s="2">
        <v>144.4</v>
      </c>
      <c r="R151" s="2">
        <v>136.80000000000001</v>
      </c>
      <c r="S151" s="2">
        <v>130.30000000000001</v>
      </c>
      <c r="T151" s="2">
        <v>135.9</v>
      </c>
      <c r="U151" s="2">
        <v>130.5</v>
      </c>
      <c r="V151" s="2">
        <v>127.9</v>
      </c>
      <c r="W151" s="2">
        <v>129.69999999999999</v>
      </c>
      <c r="X151" s="2">
        <v>127.4</v>
      </c>
      <c r="Y151" s="2">
        <v>117.4</v>
      </c>
      <c r="Z151" s="2">
        <v>124.6</v>
      </c>
      <c r="AA151" s="2">
        <v>133.4</v>
      </c>
      <c r="AB151" s="2">
        <v>122.6</v>
      </c>
      <c r="AC151" s="2">
        <v>124.8</v>
      </c>
      <c r="AD151" s="2">
        <v>130.6</v>
      </c>
    </row>
    <row r="152" spans="1:30" ht="14.4" x14ac:dyDescent="0.3">
      <c r="A152" s="2" t="s">
        <v>30</v>
      </c>
      <c r="B152" s="2">
        <v>2017</v>
      </c>
      <c r="C152" s="2" t="s">
        <v>36</v>
      </c>
      <c r="D152" s="2">
        <v>133.6</v>
      </c>
      <c r="E152" s="2">
        <v>138.80000000000001</v>
      </c>
      <c r="F152" s="2">
        <v>128.80000000000001</v>
      </c>
      <c r="G152" s="2">
        <v>137.19999999999999</v>
      </c>
      <c r="H152" s="2">
        <v>121.6</v>
      </c>
      <c r="I152" s="2">
        <v>139.69999999999999</v>
      </c>
      <c r="J152" s="2">
        <v>119.7</v>
      </c>
      <c r="K152" s="2">
        <v>148</v>
      </c>
      <c r="L152" s="2">
        <v>116.9</v>
      </c>
      <c r="M152" s="2">
        <v>135.6</v>
      </c>
      <c r="N152" s="2">
        <v>129.80000000000001</v>
      </c>
      <c r="O152" s="2">
        <v>145.4</v>
      </c>
      <c r="P152" s="2">
        <v>133.4</v>
      </c>
      <c r="Q152" s="2">
        <v>144.19999999999999</v>
      </c>
      <c r="R152" s="2">
        <v>141.6</v>
      </c>
      <c r="S152" s="2">
        <v>136.19999999999999</v>
      </c>
      <c r="T152" s="2">
        <v>140.80000000000001</v>
      </c>
      <c r="U152" s="2" t="s">
        <v>32</v>
      </c>
      <c r="V152" s="2">
        <v>134.19999999999999</v>
      </c>
      <c r="W152" s="2">
        <v>134.1</v>
      </c>
      <c r="X152" s="2">
        <v>130.6</v>
      </c>
      <c r="Y152" s="2">
        <v>119.8</v>
      </c>
      <c r="Z152" s="2">
        <v>128.30000000000001</v>
      </c>
      <c r="AA152" s="2">
        <v>135.19999999999999</v>
      </c>
      <c r="AB152" s="2">
        <v>123.3</v>
      </c>
      <c r="AC152" s="2">
        <v>127.4</v>
      </c>
      <c r="AD152" s="2">
        <v>132.80000000000001</v>
      </c>
    </row>
    <row r="153" spans="1:30" ht="14.4" x14ac:dyDescent="0.3">
      <c r="A153" s="2" t="s">
        <v>33</v>
      </c>
      <c r="B153" s="2">
        <v>2017</v>
      </c>
      <c r="C153" s="2" t="s">
        <v>36</v>
      </c>
      <c r="D153" s="2">
        <v>132.69999999999999</v>
      </c>
      <c r="E153" s="2">
        <v>139.4</v>
      </c>
      <c r="F153" s="2">
        <v>128.4</v>
      </c>
      <c r="G153" s="2">
        <v>134.9</v>
      </c>
      <c r="H153" s="2">
        <v>114</v>
      </c>
      <c r="I153" s="2">
        <v>136.80000000000001</v>
      </c>
      <c r="J153" s="2">
        <v>122.2</v>
      </c>
      <c r="K153" s="2">
        <v>135.80000000000001</v>
      </c>
      <c r="L153" s="2">
        <v>120.3</v>
      </c>
      <c r="M153" s="2">
        <v>142.6</v>
      </c>
      <c r="N153" s="2">
        <v>123.6</v>
      </c>
      <c r="O153" s="2">
        <v>142.4</v>
      </c>
      <c r="P153" s="2">
        <v>132.6</v>
      </c>
      <c r="Q153" s="2">
        <v>147.5</v>
      </c>
      <c r="R153" s="2">
        <v>130.80000000000001</v>
      </c>
      <c r="S153" s="2">
        <v>122.8</v>
      </c>
      <c r="T153" s="2">
        <v>129.6</v>
      </c>
      <c r="U153" s="2">
        <v>131.1</v>
      </c>
      <c r="V153" s="2">
        <v>120.8</v>
      </c>
      <c r="W153" s="2">
        <v>125.6</v>
      </c>
      <c r="X153" s="2">
        <v>123.1</v>
      </c>
      <c r="Y153" s="2">
        <v>115.6</v>
      </c>
      <c r="Z153" s="2">
        <v>122.4</v>
      </c>
      <c r="AA153" s="2">
        <v>132.80000000000001</v>
      </c>
      <c r="AB153" s="2">
        <v>121.7</v>
      </c>
      <c r="AC153" s="2">
        <v>122.6</v>
      </c>
      <c r="AD153" s="2">
        <v>128.69999999999999</v>
      </c>
    </row>
    <row r="154" spans="1:30" ht="14.4" x14ac:dyDescent="0.3">
      <c r="A154" s="2" t="s">
        <v>34</v>
      </c>
      <c r="B154" s="2">
        <v>2017</v>
      </c>
      <c r="C154" s="2" t="s">
        <v>36</v>
      </c>
      <c r="D154" s="2">
        <v>133.30000000000001</v>
      </c>
      <c r="E154" s="2">
        <v>139</v>
      </c>
      <c r="F154" s="2">
        <v>128.6</v>
      </c>
      <c r="G154" s="2">
        <v>136.30000000000001</v>
      </c>
      <c r="H154" s="2">
        <v>118.8</v>
      </c>
      <c r="I154" s="2">
        <v>138.30000000000001</v>
      </c>
      <c r="J154" s="2">
        <v>120.5</v>
      </c>
      <c r="K154" s="2">
        <v>143.9</v>
      </c>
      <c r="L154" s="2">
        <v>118</v>
      </c>
      <c r="M154" s="2">
        <v>137.9</v>
      </c>
      <c r="N154" s="2">
        <v>127.2</v>
      </c>
      <c r="O154" s="2">
        <v>144</v>
      </c>
      <c r="P154" s="2">
        <v>133.1</v>
      </c>
      <c r="Q154" s="2">
        <v>145.1</v>
      </c>
      <c r="R154" s="2">
        <v>137.30000000000001</v>
      </c>
      <c r="S154" s="2">
        <v>130.6</v>
      </c>
      <c r="T154" s="2">
        <v>136.4</v>
      </c>
      <c r="U154" s="2">
        <v>131.1</v>
      </c>
      <c r="V154" s="2">
        <v>129.1</v>
      </c>
      <c r="W154" s="2">
        <v>130.1</v>
      </c>
      <c r="X154" s="2">
        <v>127.8</v>
      </c>
      <c r="Y154" s="2">
        <v>117.6</v>
      </c>
      <c r="Z154" s="2">
        <v>125</v>
      </c>
      <c r="AA154" s="2">
        <v>133.80000000000001</v>
      </c>
      <c r="AB154" s="2">
        <v>122.6</v>
      </c>
      <c r="AC154" s="2">
        <v>125.1</v>
      </c>
      <c r="AD154" s="2">
        <v>130.9</v>
      </c>
    </row>
    <row r="155" spans="1:30" ht="14.4" x14ac:dyDescent="0.3">
      <c r="A155" s="2" t="s">
        <v>30</v>
      </c>
      <c r="B155" s="2">
        <v>2017</v>
      </c>
      <c r="C155" s="2" t="s">
        <v>37</v>
      </c>
      <c r="D155" s="2">
        <v>133.19999999999999</v>
      </c>
      <c r="E155" s="2">
        <v>138.69999999999999</v>
      </c>
      <c r="F155" s="2">
        <v>127.1</v>
      </c>
      <c r="G155" s="2">
        <v>137.69999999999999</v>
      </c>
      <c r="H155" s="2">
        <v>121.3</v>
      </c>
      <c r="I155" s="2">
        <v>141.80000000000001</v>
      </c>
      <c r="J155" s="2">
        <v>121.5</v>
      </c>
      <c r="K155" s="2">
        <v>144.5</v>
      </c>
      <c r="L155" s="2">
        <v>117.4</v>
      </c>
      <c r="M155" s="2">
        <v>134.1</v>
      </c>
      <c r="N155" s="2">
        <v>130</v>
      </c>
      <c r="O155" s="2">
        <v>145.5</v>
      </c>
      <c r="P155" s="2">
        <v>133.5</v>
      </c>
      <c r="Q155" s="2">
        <v>144.4</v>
      </c>
      <c r="R155" s="2">
        <v>142.4</v>
      </c>
      <c r="S155" s="2">
        <v>136.80000000000001</v>
      </c>
      <c r="T155" s="2">
        <v>141.6</v>
      </c>
      <c r="U155" s="2" t="s">
        <v>32</v>
      </c>
      <c r="V155" s="2">
        <v>135</v>
      </c>
      <c r="W155" s="2">
        <v>134.30000000000001</v>
      </c>
      <c r="X155" s="2">
        <v>131</v>
      </c>
      <c r="Y155" s="2">
        <v>119.2</v>
      </c>
      <c r="Z155" s="2">
        <v>128.30000000000001</v>
      </c>
      <c r="AA155" s="2">
        <v>135.69999999999999</v>
      </c>
      <c r="AB155" s="2">
        <v>123.7</v>
      </c>
      <c r="AC155" s="2">
        <v>127.5</v>
      </c>
      <c r="AD155" s="2">
        <v>132.9</v>
      </c>
    </row>
    <row r="156" spans="1:30" ht="14.4" x14ac:dyDescent="0.3">
      <c r="A156" s="2" t="s">
        <v>33</v>
      </c>
      <c r="B156" s="2">
        <v>2017</v>
      </c>
      <c r="C156" s="2" t="s">
        <v>37</v>
      </c>
      <c r="D156" s="2">
        <v>132.69999999999999</v>
      </c>
      <c r="E156" s="2">
        <v>140.6</v>
      </c>
      <c r="F156" s="2">
        <v>124.5</v>
      </c>
      <c r="G156" s="2">
        <v>136.30000000000001</v>
      </c>
      <c r="H156" s="2">
        <v>113.5</v>
      </c>
      <c r="I156" s="2">
        <v>137.69999999999999</v>
      </c>
      <c r="J156" s="2">
        <v>127.1</v>
      </c>
      <c r="K156" s="2">
        <v>133.80000000000001</v>
      </c>
      <c r="L156" s="2">
        <v>120.8</v>
      </c>
      <c r="M156" s="2">
        <v>141.30000000000001</v>
      </c>
      <c r="N156" s="2">
        <v>123.8</v>
      </c>
      <c r="O156" s="2">
        <v>142.6</v>
      </c>
      <c r="P156" s="2">
        <v>133.4</v>
      </c>
      <c r="Q156" s="2">
        <v>148</v>
      </c>
      <c r="R156" s="2">
        <v>131.19999999999999</v>
      </c>
      <c r="S156" s="2">
        <v>123</v>
      </c>
      <c r="T156" s="2">
        <v>130</v>
      </c>
      <c r="U156" s="2">
        <v>131.69999999999999</v>
      </c>
      <c r="V156" s="2">
        <v>121.4</v>
      </c>
      <c r="W156" s="2">
        <v>126</v>
      </c>
      <c r="X156" s="2">
        <v>123.4</v>
      </c>
      <c r="Y156" s="2">
        <v>114.3</v>
      </c>
      <c r="Z156" s="2">
        <v>122.6</v>
      </c>
      <c r="AA156" s="2">
        <v>133.6</v>
      </c>
      <c r="AB156" s="2">
        <v>122.2</v>
      </c>
      <c r="AC156" s="2">
        <v>122.5</v>
      </c>
      <c r="AD156" s="2">
        <v>129.1</v>
      </c>
    </row>
    <row r="157" spans="1:30" ht="14.4" x14ac:dyDescent="0.3">
      <c r="A157" s="2" t="s">
        <v>34</v>
      </c>
      <c r="B157" s="2">
        <v>2017</v>
      </c>
      <c r="C157" s="2" t="s">
        <v>37</v>
      </c>
      <c r="D157" s="2">
        <v>133</v>
      </c>
      <c r="E157" s="2">
        <v>139.4</v>
      </c>
      <c r="F157" s="2">
        <v>126.1</v>
      </c>
      <c r="G157" s="2">
        <v>137.19999999999999</v>
      </c>
      <c r="H157" s="2">
        <v>118.4</v>
      </c>
      <c r="I157" s="2">
        <v>139.9</v>
      </c>
      <c r="J157" s="2">
        <v>123.4</v>
      </c>
      <c r="K157" s="2">
        <v>140.9</v>
      </c>
      <c r="L157" s="2">
        <v>118.5</v>
      </c>
      <c r="M157" s="2">
        <v>136.5</v>
      </c>
      <c r="N157" s="2">
        <v>127.4</v>
      </c>
      <c r="O157" s="2">
        <v>144.19999999999999</v>
      </c>
      <c r="P157" s="2">
        <v>133.5</v>
      </c>
      <c r="Q157" s="2">
        <v>145.4</v>
      </c>
      <c r="R157" s="2">
        <v>138</v>
      </c>
      <c r="S157" s="2">
        <v>131.1</v>
      </c>
      <c r="T157" s="2">
        <v>137</v>
      </c>
      <c r="U157" s="2">
        <v>131.69999999999999</v>
      </c>
      <c r="V157" s="2">
        <v>129.80000000000001</v>
      </c>
      <c r="W157" s="2">
        <v>130.4</v>
      </c>
      <c r="X157" s="2">
        <v>128.1</v>
      </c>
      <c r="Y157" s="2">
        <v>116.6</v>
      </c>
      <c r="Z157" s="2">
        <v>125.1</v>
      </c>
      <c r="AA157" s="2">
        <v>134.5</v>
      </c>
      <c r="AB157" s="2">
        <v>123.1</v>
      </c>
      <c r="AC157" s="2">
        <v>125.1</v>
      </c>
      <c r="AD157" s="2">
        <v>131.1</v>
      </c>
    </row>
    <row r="158" spans="1:30" ht="14.4" x14ac:dyDescent="0.3">
      <c r="A158" s="2" t="s">
        <v>30</v>
      </c>
      <c r="B158" s="2">
        <v>2017</v>
      </c>
      <c r="C158" s="2" t="s">
        <v>38</v>
      </c>
      <c r="D158" s="2">
        <v>133.1</v>
      </c>
      <c r="E158" s="2">
        <v>140.30000000000001</v>
      </c>
      <c r="F158" s="2">
        <v>126.8</v>
      </c>
      <c r="G158" s="2">
        <v>138.19999999999999</v>
      </c>
      <c r="H158" s="2">
        <v>120.8</v>
      </c>
      <c r="I158" s="2">
        <v>140.19999999999999</v>
      </c>
      <c r="J158" s="2">
        <v>123.8</v>
      </c>
      <c r="K158" s="2">
        <v>141.80000000000001</v>
      </c>
      <c r="L158" s="2">
        <v>118.6</v>
      </c>
      <c r="M158" s="2">
        <v>134</v>
      </c>
      <c r="N158" s="2">
        <v>130.30000000000001</v>
      </c>
      <c r="O158" s="2">
        <v>145.80000000000001</v>
      </c>
      <c r="P158" s="2">
        <v>133.80000000000001</v>
      </c>
      <c r="Q158" s="2">
        <v>145.5</v>
      </c>
      <c r="R158" s="2">
        <v>142.5</v>
      </c>
      <c r="S158" s="2">
        <v>137.30000000000001</v>
      </c>
      <c r="T158" s="2">
        <v>141.80000000000001</v>
      </c>
      <c r="U158" s="2" t="s">
        <v>32</v>
      </c>
      <c r="V158" s="2">
        <v>135</v>
      </c>
      <c r="W158" s="2">
        <v>134.9</v>
      </c>
      <c r="X158" s="2">
        <v>131.4</v>
      </c>
      <c r="Y158" s="2">
        <v>119.4</v>
      </c>
      <c r="Z158" s="2">
        <v>129.4</v>
      </c>
      <c r="AA158" s="2">
        <v>136.30000000000001</v>
      </c>
      <c r="AB158" s="2">
        <v>123.7</v>
      </c>
      <c r="AC158" s="2">
        <v>127.9</v>
      </c>
      <c r="AD158" s="2">
        <v>133.30000000000001</v>
      </c>
    </row>
    <row r="159" spans="1:30" ht="14.4" x14ac:dyDescent="0.3">
      <c r="A159" s="2" t="s">
        <v>33</v>
      </c>
      <c r="B159" s="2">
        <v>2017</v>
      </c>
      <c r="C159" s="2" t="s">
        <v>38</v>
      </c>
      <c r="D159" s="2">
        <v>132.6</v>
      </c>
      <c r="E159" s="2">
        <v>144.1</v>
      </c>
      <c r="F159" s="2">
        <v>125.6</v>
      </c>
      <c r="G159" s="2">
        <v>136.80000000000001</v>
      </c>
      <c r="H159" s="2">
        <v>113.4</v>
      </c>
      <c r="I159" s="2">
        <v>135.19999999999999</v>
      </c>
      <c r="J159" s="2">
        <v>129.19999999999999</v>
      </c>
      <c r="K159" s="2">
        <v>131.5</v>
      </c>
      <c r="L159" s="2">
        <v>121</v>
      </c>
      <c r="M159" s="2">
        <v>139.9</v>
      </c>
      <c r="N159" s="2">
        <v>123.8</v>
      </c>
      <c r="O159" s="2">
        <v>142.9</v>
      </c>
      <c r="P159" s="2">
        <v>133.6</v>
      </c>
      <c r="Q159" s="2">
        <v>148.30000000000001</v>
      </c>
      <c r="R159" s="2">
        <v>131.5</v>
      </c>
      <c r="S159" s="2">
        <v>123.2</v>
      </c>
      <c r="T159" s="2">
        <v>130.19999999999999</v>
      </c>
      <c r="U159" s="2">
        <v>132.1</v>
      </c>
      <c r="V159" s="2">
        <v>120.1</v>
      </c>
      <c r="W159" s="2">
        <v>126.5</v>
      </c>
      <c r="X159" s="2">
        <v>123.6</v>
      </c>
      <c r="Y159" s="2">
        <v>114.3</v>
      </c>
      <c r="Z159" s="2">
        <v>122.8</v>
      </c>
      <c r="AA159" s="2">
        <v>133.80000000000001</v>
      </c>
      <c r="AB159" s="2">
        <v>122</v>
      </c>
      <c r="AC159" s="2">
        <v>122.6</v>
      </c>
      <c r="AD159" s="2">
        <v>129.30000000000001</v>
      </c>
    </row>
    <row r="160" spans="1:30" ht="14.4" x14ac:dyDescent="0.3">
      <c r="A160" s="2" t="s">
        <v>34</v>
      </c>
      <c r="B160" s="2">
        <v>2017</v>
      </c>
      <c r="C160" s="2" t="s">
        <v>38</v>
      </c>
      <c r="D160" s="2">
        <v>132.9</v>
      </c>
      <c r="E160" s="2">
        <v>141.6</v>
      </c>
      <c r="F160" s="2">
        <v>126.3</v>
      </c>
      <c r="G160" s="2">
        <v>137.69999999999999</v>
      </c>
      <c r="H160" s="2">
        <v>118.1</v>
      </c>
      <c r="I160" s="2">
        <v>137.9</v>
      </c>
      <c r="J160" s="2">
        <v>125.6</v>
      </c>
      <c r="K160" s="2">
        <v>138.30000000000001</v>
      </c>
      <c r="L160" s="2">
        <v>119.4</v>
      </c>
      <c r="M160" s="2">
        <v>136</v>
      </c>
      <c r="N160" s="2">
        <v>127.6</v>
      </c>
      <c r="O160" s="2">
        <v>144.5</v>
      </c>
      <c r="P160" s="2">
        <v>133.69999999999999</v>
      </c>
      <c r="Q160" s="2">
        <v>146.19999999999999</v>
      </c>
      <c r="R160" s="2">
        <v>138.19999999999999</v>
      </c>
      <c r="S160" s="2">
        <v>131.4</v>
      </c>
      <c r="T160" s="2">
        <v>137.19999999999999</v>
      </c>
      <c r="U160" s="2">
        <v>132.1</v>
      </c>
      <c r="V160" s="2">
        <v>129.4</v>
      </c>
      <c r="W160" s="2">
        <v>130.9</v>
      </c>
      <c r="X160" s="2">
        <v>128.4</v>
      </c>
      <c r="Y160" s="2">
        <v>116.7</v>
      </c>
      <c r="Z160" s="2">
        <v>125.7</v>
      </c>
      <c r="AA160" s="2">
        <v>134.80000000000001</v>
      </c>
      <c r="AB160" s="2">
        <v>123</v>
      </c>
      <c r="AC160" s="2">
        <v>125.3</v>
      </c>
      <c r="AD160" s="2">
        <v>131.4</v>
      </c>
    </row>
    <row r="161" spans="1:30" ht="14.4" x14ac:dyDescent="0.3">
      <c r="A161" s="2" t="s">
        <v>30</v>
      </c>
      <c r="B161" s="2">
        <v>2017</v>
      </c>
      <c r="C161" s="2" t="s">
        <v>39</v>
      </c>
      <c r="D161" s="2">
        <v>133.5</v>
      </c>
      <c r="E161" s="2">
        <v>143.69999999999999</v>
      </c>
      <c r="F161" s="2">
        <v>128</v>
      </c>
      <c r="G161" s="2">
        <v>138.6</v>
      </c>
      <c r="H161" s="2">
        <v>120.9</v>
      </c>
      <c r="I161" s="2">
        <v>140.9</v>
      </c>
      <c r="J161" s="2">
        <v>128.80000000000001</v>
      </c>
      <c r="K161" s="2">
        <v>140.19999999999999</v>
      </c>
      <c r="L161" s="2">
        <v>118.9</v>
      </c>
      <c r="M161" s="2">
        <v>133.5</v>
      </c>
      <c r="N161" s="2">
        <v>130.4</v>
      </c>
      <c r="O161" s="2">
        <v>146.5</v>
      </c>
      <c r="P161" s="2">
        <v>134.9</v>
      </c>
      <c r="Q161" s="2">
        <v>145.80000000000001</v>
      </c>
      <c r="R161" s="2">
        <v>143.1</v>
      </c>
      <c r="S161" s="2">
        <v>137.69999999999999</v>
      </c>
      <c r="T161" s="2">
        <v>142.30000000000001</v>
      </c>
      <c r="U161" s="2" t="s">
        <v>32</v>
      </c>
      <c r="V161" s="2">
        <v>134.80000000000001</v>
      </c>
      <c r="W161" s="2">
        <v>135.19999999999999</v>
      </c>
      <c r="X161" s="2">
        <v>131.30000000000001</v>
      </c>
      <c r="Y161" s="2">
        <v>119.4</v>
      </c>
      <c r="Z161" s="2">
        <v>129.80000000000001</v>
      </c>
      <c r="AA161" s="2">
        <v>136.9</v>
      </c>
      <c r="AB161" s="2">
        <v>124.1</v>
      </c>
      <c r="AC161" s="2">
        <v>128.1</v>
      </c>
      <c r="AD161" s="2">
        <v>133.9</v>
      </c>
    </row>
    <row r="162" spans="1:30" ht="14.4" x14ac:dyDescent="0.3">
      <c r="A162" s="2" t="s">
        <v>33</v>
      </c>
      <c r="B162" s="2">
        <v>2017</v>
      </c>
      <c r="C162" s="2" t="s">
        <v>39</v>
      </c>
      <c r="D162" s="2">
        <v>132.9</v>
      </c>
      <c r="E162" s="2">
        <v>148.69999999999999</v>
      </c>
      <c r="F162" s="2">
        <v>128.30000000000001</v>
      </c>
      <c r="G162" s="2">
        <v>137.30000000000001</v>
      </c>
      <c r="H162" s="2">
        <v>113.5</v>
      </c>
      <c r="I162" s="2">
        <v>137.19999999999999</v>
      </c>
      <c r="J162" s="2">
        <v>142.19999999999999</v>
      </c>
      <c r="K162" s="2">
        <v>128.19999999999999</v>
      </c>
      <c r="L162" s="2">
        <v>120.9</v>
      </c>
      <c r="M162" s="2">
        <v>138.80000000000001</v>
      </c>
      <c r="N162" s="2">
        <v>124.2</v>
      </c>
      <c r="O162" s="2">
        <v>143.1</v>
      </c>
      <c r="P162" s="2">
        <v>135.69999999999999</v>
      </c>
      <c r="Q162" s="2">
        <v>148.6</v>
      </c>
      <c r="R162" s="2">
        <v>131.5</v>
      </c>
      <c r="S162" s="2">
        <v>123.2</v>
      </c>
      <c r="T162" s="2">
        <v>130.19999999999999</v>
      </c>
      <c r="U162" s="2">
        <v>131.4</v>
      </c>
      <c r="V162" s="2">
        <v>119</v>
      </c>
      <c r="W162" s="2">
        <v>126.8</v>
      </c>
      <c r="X162" s="2">
        <v>123.8</v>
      </c>
      <c r="Y162" s="2">
        <v>113.9</v>
      </c>
      <c r="Z162" s="2">
        <v>122.9</v>
      </c>
      <c r="AA162" s="2">
        <v>134.30000000000001</v>
      </c>
      <c r="AB162" s="2">
        <v>122.5</v>
      </c>
      <c r="AC162" s="2">
        <v>122.7</v>
      </c>
      <c r="AD162" s="2">
        <v>129.9</v>
      </c>
    </row>
    <row r="163" spans="1:30" ht="14.4" x14ac:dyDescent="0.3">
      <c r="A163" s="2" t="s">
        <v>34</v>
      </c>
      <c r="B163" s="2">
        <v>2017</v>
      </c>
      <c r="C163" s="2" t="s">
        <v>39</v>
      </c>
      <c r="D163" s="2">
        <v>133.30000000000001</v>
      </c>
      <c r="E163" s="2">
        <v>145.5</v>
      </c>
      <c r="F163" s="2">
        <v>128.1</v>
      </c>
      <c r="G163" s="2">
        <v>138.1</v>
      </c>
      <c r="H163" s="2">
        <v>118.2</v>
      </c>
      <c r="I163" s="2">
        <v>139.19999999999999</v>
      </c>
      <c r="J163" s="2">
        <v>133.30000000000001</v>
      </c>
      <c r="K163" s="2">
        <v>136.19999999999999</v>
      </c>
      <c r="L163" s="2">
        <v>119.6</v>
      </c>
      <c r="M163" s="2">
        <v>135.30000000000001</v>
      </c>
      <c r="N163" s="2">
        <v>127.8</v>
      </c>
      <c r="O163" s="2">
        <v>144.9</v>
      </c>
      <c r="P163" s="2">
        <v>135.19999999999999</v>
      </c>
      <c r="Q163" s="2">
        <v>146.5</v>
      </c>
      <c r="R163" s="2">
        <v>138.5</v>
      </c>
      <c r="S163" s="2">
        <v>131.69999999999999</v>
      </c>
      <c r="T163" s="2">
        <v>137.5</v>
      </c>
      <c r="U163" s="2">
        <v>131.4</v>
      </c>
      <c r="V163" s="2">
        <v>128.80000000000001</v>
      </c>
      <c r="W163" s="2">
        <v>131.19999999999999</v>
      </c>
      <c r="X163" s="2">
        <v>128.5</v>
      </c>
      <c r="Y163" s="2">
        <v>116.5</v>
      </c>
      <c r="Z163" s="2">
        <v>125.9</v>
      </c>
      <c r="AA163" s="2">
        <v>135.4</v>
      </c>
      <c r="AB163" s="2">
        <v>123.4</v>
      </c>
      <c r="AC163" s="2">
        <v>125.5</v>
      </c>
      <c r="AD163" s="2">
        <v>132</v>
      </c>
    </row>
    <row r="164" spans="1:30" ht="14.4" x14ac:dyDescent="0.3">
      <c r="A164" s="2" t="s">
        <v>30</v>
      </c>
      <c r="B164" s="2">
        <v>2017</v>
      </c>
      <c r="C164" s="2" t="s">
        <v>40</v>
      </c>
      <c r="D164" s="2">
        <v>134</v>
      </c>
      <c r="E164" s="2">
        <v>144.19999999999999</v>
      </c>
      <c r="F164" s="2">
        <v>129.80000000000001</v>
      </c>
      <c r="G164" s="2">
        <v>139</v>
      </c>
      <c r="H164" s="2">
        <v>120.9</v>
      </c>
      <c r="I164" s="2">
        <v>143.9</v>
      </c>
      <c r="J164" s="2">
        <v>151.5</v>
      </c>
      <c r="K164" s="2">
        <v>138.1</v>
      </c>
      <c r="L164" s="2">
        <v>120</v>
      </c>
      <c r="M164" s="2">
        <v>133.9</v>
      </c>
      <c r="N164" s="2">
        <v>131.4</v>
      </c>
      <c r="O164" s="2">
        <v>147.69999999999999</v>
      </c>
      <c r="P164" s="2">
        <v>138.5</v>
      </c>
      <c r="Q164" s="2">
        <v>147.4</v>
      </c>
      <c r="R164" s="2">
        <v>144.30000000000001</v>
      </c>
      <c r="S164" s="2">
        <v>138.1</v>
      </c>
      <c r="T164" s="2">
        <v>143.5</v>
      </c>
      <c r="U164" s="2" t="s">
        <v>32</v>
      </c>
      <c r="V164" s="2">
        <v>135.30000000000001</v>
      </c>
      <c r="W164" s="2">
        <v>136.1</v>
      </c>
      <c r="X164" s="2">
        <v>132.1</v>
      </c>
      <c r="Y164" s="2">
        <v>119.1</v>
      </c>
      <c r="Z164" s="2">
        <v>130.6</v>
      </c>
      <c r="AA164" s="2">
        <v>138.6</v>
      </c>
      <c r="AB164" s="2">
        <v>124.4</v>
      </c>
      <c r="AC164" s="2">
        <v>128.6</v>
      </c>
      <c r="AD164" s="2">
        <v>136.19999999999999</v>
      </c>
    </row>
    <row r="165" spans="1:30" ht="14.4" x14ac:dyDescent="0.3">
      <c r="A165" s="2" t="s">
        <v>33</v>
      </c>
      <c r="B165" s="2">
        <v>2017</v>
      </c>
      <c r="C165" s="2" t="s">
        <v>40</v>
      </c>
      <c r="D165" s="2">
        <v>132.80000000000001</v>
      </c>
      <c r="E165" s="2">
        <v>148.4</v>
      </c>
      <c r="F165" s="2">
        <v>129.4</v>
      </c>
      <c r="G165" s="2">
        <v>137.69999999999999</v>
      </c>
      <c r="H165" s="2">
        <v>113.4</v>
      </c>
      <c r="I165" s="2">
        <v>139.4</v>
      </c>
      <c r="J165" s="2">
        <v>175.1</v>
      </c>
      <c r="K165" s="2">
        <v>124.7</v>
      </c>
      <c r="L165" s="2">
        <v>121.5</v>
      </c>
      <c r="M165" s="2">
        <v>137.80000000000001</v>
      </c>
      <c r="N165" s="2">
        <v>124.4</v>
      </c>
      <c r="O165" s="2">
        <v>143.69999999999999</v>
      </c>
      <c r="P165" s="2">
        <v>139.80000000000001</v>
      </c>
      <c r="Q165" s="2">
        <v>150.5</v>
      </c>
      <c r="R165" s="2">
        <v>131.6</v>
      </c>
      <c r="S165" s="2">
        <v>123.7</v>
      </c>
      <c r="T165" s="2">
        <v>130.4</v>
      </c>
      <c r="U165" s="2">
        <v>132.6</v>
      </c>
      <c r="V165" s="2">
        <v>119.7</v>
      </c>
      <c r="W165" s="2">
        <v>127.2</v>
      </c>
      <c r="X165" s="2">
        <v>125</v>
      </c>
      <c r="Y165" s="2">
        <v>113.2</v>
      </c>
      <c r="Z165" s="2">
        <v>123.5</v>
      </c>
      <c r="AA165" s="2">
        <v>135.5</v>
      </c>
      <c r="AB165" s="2">
        <v>122.4</v>
      </c>
      <c r="AC165" s="2">
        <v>123</v>
      </c>
      <c r="AD165" s="2">
        <v>131.80000000000001</v>
      </c>
    </row>
    <row r="166" spans="1:30" ht="14.4" x14ac:dyDescent="0.3">
      <c r="A166" s="2" t="s">
        <v>34</v>
      </c>
      <c r="B166" s="2">
        <v>2017</v>
      </c>
      <c r="C166" s="2" t="s">
        <v>40</v>
      </c>
      <c r="D166" s="2">
        <v>133.6</v>
      </c>
      <c r="E166" s="2">
        <v>145.69999999999999</v>
      </c>
      <c r="F166" s="2">
        <v>129.6</v>
      </c>
      <c r="G166" s="2">
        <v>138.5</v>
      </c>
      <c r="H166" s="2">
        <v>118.1</v>
      </c>
      <c r="I166" s="2">
        <v>141.80000000000001</v>
      </c>
      <c r="J166" s="2">
        <v>159.5</v>
      </c>
      <c r="K166" s="2">
        <v>133.6</v>
      </c>
      <c r="L166" s="2">
        <v>120.5</v>
      </c>
      <c r="M166" s="2">
        <v>135.19999999999999</v>
      </c>
      <c r="N166" s="2">
        <v>128.5</v>
      </c>
      <c r="O166" s="2">
        <v>145.80000000000001</v>
      </c>
      <c r="P166" s="2">
        <v>139</v>
      </c>
      <c r="Q166" s="2">
        <v>148.19999999999999</v>
      </c>
      <c r="R166" s="2">
        <v>139.30000000000001</v>
      </c>
      <c r="S166" s="2">
        <v>132.1</v>
      </c>
      <c r="T166" s="2">
        <v>138.30000000000001</v>
      </c>
      <c r="U166" s="2">
        <v>132.6</v>
      </c>
      <c r="V166" s="2">
        <v>129.4</v>
      </c>
      <c r="W166" s="2">
        <v>131.9</v>
      </c>
      <c r="X166" s="2">
        <v>129.4</v>
      </c>
      <c r="Y166" s="2">
        <v>116</v>
      </c>
      <c r="Z166" s="2">
        <v>126.6</v>
      </c>
      <c r="AA166" s="2">
        <v>136.80000000000001</v>
      </c>
      <c r="AB166" s="2">
        <v>123.6</v>
      </c>
      <c r="AC166" s="2">
        <v>125.9</v>
      </c>
      <c r="AD166" s="2">
        <v>134.19999999999999</v>
      </c>
    </row>
    <row r="167" spans="1:30" ht="14.4" x14ac:dyDescent="0.3">
      <c r="A167" s="2" t="s">
        <v>30</v>
      </c>
      <c r="B167" s="2">
        <v>2017</v>
      </c>
      <c r="C167" s="2" t="s">
        <v>41</v>
      </c>
      <c r="D167" s="2">
        <v>134.80000000000001</v>
      </c>
      <c r="E167" s="2">
        <v>143.1</v>
      </c>
      <c r="F167" s="2">
        <v>130</v>
      </c>
      <c r="G167" s="2">
        <v>139.4</v>
      </c>
      <c r="H167" s="2">
        <v>120.5</v>
      </c>
      <c r="I167" s="2">
        <v>148</v>
      </c>
      <c r="J167" s="2">
        <v>162.9</v>
      </c>
      <c r="K167" s="2">
        <v>137.4</v>
      </c>
      <c r="L167" s="2">
        <v>120.8</v>
      </c>
      <c r="M167" s="2">
        <v>134.69999999999999</v>
      </c>
      <c r="N167" s="2">
        <v>131.6</v>
      </c>
      <c r="O167" s="2">
        <v>148.69999999999999</v>
      </c>
      <c r="P167" s="2">
        <v>140.6</v>
      </c>
      <c r="Q167" s="2">
        <v>149</v>
      </c>
      <c r="R167" s="2">
        <v>145.30000000000001</v>
      </c>
      <c r="S167" s="2">
        <v>139.19999999999999</v>
      </c>
      <c r="T167" s="2">
        <v>144.5</v>
      </c>
      <c r="U167" s="2" t="s">
        <v>32</v>
      </c>
      <c r="V167" s="2">
        <v>136.4</v>
      </c>
      <c r="W167" s="2">
        <v>137.30000000000001</v>
      </c>
      <c r="X167" s="2">
        <v>133</v>
      </c>
      <c r="Y167" s="2">
        <v>120.3</v>
      </c>
      <c r="Z167" s="2">
        <v>131.5</v>
      </c>
      <c r="AA167" s="2">
        <v>140.19999999999999</v>
      </c>
      <c r="AB167" s="2">
        <v>125.4</v>
      </c>
      <c r="AC167" s="2">
        <v>129.69999999999999</v>
      </c>
      <c r="AD167" s="2">
        <v>137.80000000000001</v>
      </c>
    </row>
    <row r="168" spans="1:30" ht="14.4" x14ac:dyDescent="0.3">
      <c r="A168" s="2" t="s">
        <v>33</v>
      </c>
      <c r="B168" s="2">
        <v>2017</v>
      </c>
      <c r="C168" s="2" t="s">
        <v>41</v>
      </c>
      <c r="D168" s="2">
        <v>133.19999999999999</v>
      </c>
      <c r="E168" s="2">
        <v>143.9</v>
      </c>
      <c r="F168" s="2">
        <v>128.30000000000001</v>
      </c>
      <c r="G168" s="2">
        <v>138.30000000000001</v>
      </c>
      <c r="H168" s="2">
        <v>114.1</v>
      </c>
      <c r="I168" s="2">
        <v>142.69999999999999</v>
      </c>
      <c r="J168" s="2">
        <v>179.8</v>
      </c>
      <c r="K168" s="2">
        <v>123.5</v>
      </c>
      <c r="L168" s="2">
        <v>122.1</v>
      </c>
      <c r="M168" s="2">
        <v>137.5</v>
      </c>
      <c r="N168" s="2">
        <v>124.6</v>
      </c>
      <c r="O168" s="2">
        <v>144.5</v>
      </c>
      <c r="P168" s="2">
        <v>140.5</v>
      </c>
      <c r="Q168" s="2">
        <v>152.1</v>
      </c>
      <c r="R168" s="2">
        <v>132.69999999999999</v>
      </c>
      <c r="S168" s="2">
        <v>124.3</v>
      </c>
      <c r="T168" s="2">
        <v>131.4</v>
      </c>
      <c r="U168" s="2">
        <v>134.4</v>
      </c>
      <c r="V168" s="2">
        <v>118.9</v>
      </c>
      <c r="W168" s="2">
        <v>127.7</v>
      </c>
      <c r="X168" s="2">
        <v>125.7</v>
      </c>
      <c r="Y168" s="2">
        <v>114.6</v>
      </c>
      <c r="Z168" s="2">
        <v>124.1</v>
      </c>
      <c r="AA168" s="2">
        <v>135.69999999999999</v>
      </c>
      <c r="AB168" s="2">
        <v>123.3</v>
      </c>
      <c r="AC168" s="2">
        <v>123.8</v>
      </c>
      <c r="AD168" s="2">
        <v>132.69999999999999</v>
      </c>
    </row>
    <row r="169" spans="1:30" ht="14.4" x14ac:dyDescent="0.3">
      <c r="A169" s="2" t="s">
        <v>34</v>
      </c>
      <c r="B169" s="2">
        <v>2017</v>
      </c>
      <c r="C169" s="2" t="s">
        <v>41</v>
      </c>
      <c r="D169" s="2">
        <v>134.30000000000001</v>
      </c>
      <c r="E169" s="2">
        <v>143.4</v>
      </c>
      <c r="F169" s="2">
        <v>129.30000000000001</v>
      </c>
      <c r="G169" s="2">
        <v>139</v>
      </c>
      <c r="H169" s="2">
        <v>118.1</v>
      </c>
      <c r="I169" s="2">
        <v>145.5</v>
      </c>
      <c r="J169" s="2">
        <v>168.6</v>
      </c>
      <c r="K169" s="2">
        <v>132.69999999999999</v>
      </c>
      <c r="L169" s="2">
        <v>121.2</v>
      </c>
      <c r="M169" s="2">
        <v>135.6</v>
      </c>
      <c r="N169" s="2">
        <v>128.69999999999999</v>
      </c>
      <c r="O169" s="2">
        <v>146.80000000000001</v>
      </c>
      <c r="P169" s="2">
        <v>140.6</v>
      </c>
      <c r="Q169" s="2">
        <v>149.80000000000001</v>
      </c>
      <c r="R169" s="2">
        <v>140.30000000000001</v>
      </c>
      <c r="S169" s="2">
        <v>133</v>
      </c>
      <c r="T169" s="2">
        <v>139.30000000000001</v>
      </c>
      <c r="U169" s="2">
        <v>134.4</v>
      </c>
      <c r="V169" s="2">
        <v>129.80000000000001</v>
      </c>
      <c r="W169" s="2">
        <v>132.80000000000001</v>
      </c>
      <c r="X169" s="2">
        <v>130.19999999999999</v>
      </c>
      <c r="Y169" s="2">
        <v>117.3</v>
      </c>
      <c r="Z169" s="2">
        <v>127.3</v>
      </c>
      <c r="AA169" s="2">
        <v>137.6</v>
      </c>
      <c r="AB169" s="2">
        <v>124.5</v>
      </c>
      <c r="AC169" s="2">
        <v>126.8</v>
      </c>
      <c r="AD169" s="2">
        <v>135.4</v>
      </c>
    </row>
    <row r="170" spans="1:30" ht="14.4" x14ac:dyDescent="0.3">
      <c r="A170" s="2" t="s">
        <v>30</v>
      </c>
      <c r="B170" s="2">
        <v>2017</v>
      </c>
      <c r="C170" s="2" t="s">
        <v>42</v>
      </c>
      <c r="D170" s="2">
        <v>135.19999999999999</v>
      </c>
      <c r="E170" s="2">
        <v>142</v>
      </c>
      <c r="F170" s="2">
        <v>130.5</v>
      </c>
      <c r="G170" s="2">
        <v>140.19999999999999</v>
      </c>
      <c r="H170" s="2">
        <v>120.7</v>
      </c>
      <c r="I170" s="2">
        <v>147.80000000000001</v>
      </c>
      <c r="J170" s="2">
        <v>154.5</v>
      </c>
      <c r="K170" s="2">
        <v>137.1</v>
      </c>
      <c r="L170" s="2">
        <v>121</v>
      </c>
      <c r="M170" s="2">
        <v>134.69999999999999</v>
      </c>
      <c r="N170" s="2">
        <v>131.69999999999999</v>
      </c>
      <c r="O170" s="2">
        <v>149.30000000000001</v>
      </c>
      <c r="P170" s="2">
        <v>139.6</v>
      </c>
      <c r="Q170" s="2">
        <v>149.80000000000001</v>
      </c>
      <c r="R170" s="2">
        <v>146.1</v>
      </c>
      <c r="S170" s="2">
        <v>139.69999999999999</v>
      </c>
      <c r="T170" s="2">
        <v>145.19999999999999</v>
      </c>
      <c r="U170" s="2" t="s">
        <v>32</v>
      </c>
      <c r="V170" s="2">
        <v>137.4</v>
      </c>
      <c r="W170" s="2">
        <v>137.9</v>
      </c>
      <c r="X170" s="2">
        <v>133.4</v>
      </c>
      <c r="Y170" s="2">
        <v>121.2</v>
      </c>
      <c r="Z170" s="2">
        <v>132.30000000000001</v>
      </c>
      <c r="AA170" s="2">
        <v>139.6</v>
      </c>
      <c r="AB170" s="2">
        <v>126.7</v>
      </c>
      <c r="AC170" s="2">
        <v>130.30000000000001</v>
      </c>
      <c r="AD170" s="2">
        <v>137.6</v>
      </c>
    </row>
    <row r="171" spans="1:30" ht="14.4" x14ac:dyDescent="0.3">
      <c r="A171" s="2" t="s">
        <v>33</v>
      </c>
      <c r="B171" s="2">
        <v>2017</v>
      </c>
      <c r="C171" s="2" t="s">
        <v>42</v>
      </c>
      <c r="D171" s="2">
        <v>133.6</v>
      </c>
      <c r="E171" s="2">
        <v>143</v>
      </c>
      <c r="F171" s="2">
        <v>129.69999999999999</v>
      </c>
      <c r="G171" s="2">
        <v>138.69999999999999</v>
      </c>
      <c r="H171" s="2">
        <v>114.5</v>
      </c>
      <c r="I171" s="2">
        <v>137.5</v>
      </c>
      <c r="J171" s="2">
        <v>160.69999999999999</v>
      </c>
      <c r="K171" s="2">
        <v>124.5</v>
      </c>
      <c r="L171" s="2">
        <v>122.4</v>
      </c>
      <c r="M171" s="2">
        <v>137.30000000000001</v>
      </c>
      <c r="N171" s="2">
        <v>124.8</v>
      </c>
      <c r="O171" s="2">
        <v>145</v>
      </c>
      <c r="P171" s="2">
        <v>138</v>
      </c>
      <c r="Q171" s="2">
        <v>153.6</v>
      </c>
      <c r="R171" s="2">
        <v>133.30000000000001</v>
      </c>
      <c r="S171" s="2">
        <v>124.6</v>
      </c>
      <c r="T171" s="2">
        <v>132</v>
      </c>
      <c r="U171" s="2">
        <v>135.69999999999999</v>
      </c>
      <c r="V171" s="2">
        <v>120.6</v>
      </c>
      <c r="W171" s="2">
        <v>128.1</v>
      </c>
      <c r="X171" s="2">
        <v>126.1</v>
      </c>
      <c r="Y171" s="2">
        <v>115.7</v>
      </c>
      <c r="Z171" s="2">
        <v>124.5</v>
      </c>
      <c r="AA171" s="2">
        <v>135.9</v>
      </c>
      <c r="AB171" s="2">
        <v>124.4</v>
      </c>
      <c r="AC171" s="2">
        <v>124.5</v>
      </c>
      <c r="AD171" s="2">
        <v>132.4</v>
      </c>
    </row>
    <row r="172" spans="1:30" ht="14.4" x14ac:dyDescent="0.3">
      <c r="A172" s="2" t="s">
        <v>34</v>
      </c>
      <c r="B172" s="2">
        <v>2017</v>
      </c>
      <c r="C172" s="2" t="s">
        <v>42</v>
      </c>
      <c r="D172" s="2">
        <v>134.69999999999999</v>
      </c>
      <c r="E172" s="2">
        <v>142.4</v>
      </c>
      <c r="F172" s="2">
        <v>130.19999999999999</v>
      </c>
      <c r="G172" s="2">
        <v>139.6</v>
      </c>
      <c r="H172" s="2">
        <v>118.4</v>
      </c>
      <c r="I172" s="2">
        <v>143</v>
      </c>
      <c r="J172" s="2">
        <v>156.6</v>
      </c>
      <c r="K172" s="2">
        <v>132.9</v>
      </c>
      <c r="L172" s="2">
        <v>121.5</v>
      </c>
      <c r="M172" s="2">
        <v>135.6</v>
      </c>
      <c r="N172" s="2">
        <v>128.80000000000001</v>
      </c>
      <c r="O172" s="2">
        <v>147.30000000000001</v>
      </c>
      <c r="P172" s="2">
        <v>139</v>
      </c>
      <c r="Q172" s="2">
        <v>150.80000000000001</v>
      </c>
      <c r="R172" s="2">
        <v>141.1</v>
      </c>
      <c r="S172" s="2">
        <v>133.4</v>
      </c>
      <c r="T172" s="2">
        <v>140</v>
      </c>
      <c r="U172" s="2">
        <v>135.69999999999999</v>
      </c>
      <c r="V172" s="2">
        <v>131</v>
      </c>
      <c r="W172" s="2">
        <v>133.30000000000001</v>
      </c>
      <c r="X172" s="2">
        <v>130.6</v>
      </c>
      <c r="Y172" s="2">
        <v>118.3</v>
      </c>
      <c r="Z172" s="2">
        <v>127.9</v>
      </c>
      <c r="AA172" s="2">
        <v>137.4</v>
      </c>
      <c r="AB172" s="2">
        <v>125.7</v>
      </c>
      <c r="AC172" s="2">
        <v>127.5</v>
      </c>
      <c r="AD172" s="2">
        <v>135.19999999999999</v>
      </c>
    </row>
    <row r="173" spans="1:30" ht="14.4" x14ac:dyDescent="0.3">
      <c r="A173" s="2" t="s">
        <v>30</v>
      </c>
      <c r="B173" s="2">
        <v>2017</v>
      </c>
      <c r="C173" s="2" t="s">
        <v>43</v>
      </c>
      <c r="D173" s="2">
        <v>135.9</v>
      </c>
      <c r="E173" s="2">
        <v>141.9</v>
      </c>
      <c r="F173" s="2">
        <v>131</v>
      </c>
      <c r="G173" s="2">
        <v>141.5</v>
      </c>
      <c r="H173" s="2">
        <v>121.4</v>
      </c>
      <c r="I173" s="2">
        <v>146.69999999999999</v>
      </c>
      <c r="J173" s="2">
        <v>157.1</v>
      </c>
      <c r="K173" s="2">
        <v>136.4</v>
      </c>
      <c r="L173" s="2">
        <v>121.4</v>
      </c>
      <c r="M173" s="2">
        <v>135.6</v>
      </c>
      <c r="N173" s="2">
        <v>131.30000000000001</v>
      </c>
      <c r="O173" s="2">
        <v>150.30000000000001</v>
      </c>
      <c r="P173" s="2">
        <v>140.4</v>
      </c>
      <c r="Q173" s="2">
        <v>150.5</v>
      </c>
      <c r="R173" s="2">
        <v>147.19999999999999</v>
      </c>
      <c r="S173" s="2">
        <v>140.6</v>
      </c>
      <c r="T173" s="2">
        <v>146.19999999999999</v>
      </c>
      <c r="U173" s="2" t="s">
        <v>32</v>
      </c>
      <c r="V173" s="2">
        <v>138.1</v>
      </c>
      <c r="W173" s="2">
        <v>138.4</v>
      </c>
      <c r="X173" s="2">
        <v>134.19999999999999</v>
      </c>
      <c r="Y173" s="2">
        <v>121</v>
      </c>
      <c r="Z173" s="2">
        <v>133</v>
      </c>
      <c r="AA173" s="2">
        <v>140.1</v>
      </c>
      <c r="AB173" s="2">
        <v>127.4</v>
      </c>
      <c r="AC173" s="2">
        <v>130.69999999999999</v>
      </c>
      <c r="AD173" s="2">
        <v>138.30000000000001</v>
      </c>
    </row>
    <row r="174" spans="1:30" ht="14.4" x14ac:dyDescent="0.3">
      <c r="A174" s="2" t="s">
        <v>33</v>
      </c>
      <c r="B174" s="2">
        <v>2017</v>
      </c>
      <c r="C174" s="2" t="s">
        <v>43</v>
      </c>
      <c r="D174" s="2">
        <v>133.9</v>
      </c>
      <c r="E174" s="2">
        <v>142.80000000000001</v>
      </c>
      <c r="F174" s="2">
        <v>131.4</v>
      </c>
      <c r="G174" s="2">
        <v>139.1</v>
      </c>
      <c r="H174" s="2">
        <v>114.9</v>
      </c>
      <c r="I174" s="2">
        <v>135.6</v>
      </c>
      <c r="J174" s="2">
        <v>173.2</v>
      </c>
      <c r="K174" s="2">
        <v>124.1</v>
      </c>
      <c r="L174" s="2">
        <v>122.6</v>
      </c>
      <c r="M174" s="2">
        <v>137.80000000000001</v>
      </c>
      <c r="N174" s="2">
        <v>125.1</v>
      </c>
      <c r="O174" s="2">
        <v>145.5</v>
      </c>
      <c r="P174" s="2">
        <v>139.69999999999999</v>
      </c>
      <c r="Q174" s="2">
        <v>154.6</v>
      </c>
      <c r="R174" s="2">
        <v>134</v>
      </c>
      <c r="S174" s="2">
        <v>124.9</v>
      </c>
      <c r="T174" s="2">
        <v>132.6</v>
      </c>
      <c r="U174" s="2">
        <v>137.30000000000001</v>
      </c>
      <c r="V174" s="2">
        <v>122.6</v>
      </c>
      <c r="W174" s="2">
        <v>128.30000000000001</v>
      </c>
      <c r="X174" s="2">
        <v>126.6</v>
      </c>
      <c r="Y174" s="2">
        <v>115</v>
      </c>
      <c r="Z174" s="2">
        <v>124.8</v>
      </c>
      <c r="AA174" s="2">
        <v>136.30000000000001</v>
      </c>
      <c r="AB174" s="2">
        <v>124.6</v>
      </c>
      <c r="AC174" s="2">
        <v>124.5</v>
      </c>
      <c r="AD174" s="2">
        <v>133.5</v>
      </c>
    </row>
    <row r="175" spans="1:30" ht="14.4" x14ac:dyDescent="0.3">
      <c r="A175" s="2" t="s">
        <v>34</v>
      </c>
      <c r="B175" s="2">
        <v>2017</v>
      </c>
      <c r="C175" s="2" t="s">
        <v>43</v>
      </c>
      <c r="D175" s="2">
        <v>135.30000000000001</v>
      </c>
      <c r="E175" s="2">
        <v>142.19999999999999</v>
      </c>
      <c r="F175" s="2">
        <v>131.19999999999999</v>
      </c>
      <c r="G175" s="2">
        <v>140.6</v>
      </c>
      <c r="H175" s="2">
        <v>119</v>
      </c>
      <c r="I175" s="2">
        <v>141.5</v>
      </c>
      <c r="J175" s="2">
        <v>162.6</v>
      </c>
      <c r="K175" s="2">
        <v>132.30000000000001</v>
      </c>
      <c r="L175" s="2">
        <v>121.8</v>
      </c>
      <c r="M175" s="2">
        <v>136.30000000000001</v>
      </c>
      <c r="N175" s="2">
        <v>128.69999999999999</v>
      </c>
      <c r="O175" s="2">
        <v>148.1</v>
      </c>
      <c r="P175" s="2">
        <v>140.1</v>
      </c>
      <c r="Q175" s="2">
        <v>151.6</v>
      </c>
      <c r="R175" s="2">
        <v>142</v>
      </c>
      <c r="S175" s="2">
        <v>134.1</v>
      </c>
      <c r="T175" s="2">
        <v>140.80000000000001</v>
      </c>
      <c r="U175" s="2">
        <v>137.30000000000001</v>
      </c>
      <c r="V175" s="2">
        <v>132.19999999999999</v>
      </c>
      <c r="W175" s="2">
        <v>133.6</v>
      </c>
      <c r="X175" s="2">
        <v>131.30000000000001</v>
      </c>
      <c r="Y175" s="2">
        <v>117.8</v>
      </c>
      <c r="Z175" s="2">
        <v>128.4</v>
      </c>
      <c r="AA175" s="2">
        <v>137.9</v>
      </c>
      <c r="AB175" s="2">
        <v>126.2</v>
      </c>
      <c r="AC175" s="2">
        <v>127.7</v>
      </c>
      <c r="AD175" s="2">
        <v>136.1</v>
      </c>
    </row>
    <row r="176" spans="1:30" ht="14.4" x14ac:dyDescent="0.3">
      <c r="A176" s="2" t="s">
        <v>30</v>
      </c>
      <c r="B176" s="2">
        <v>2017</v>
      </c>
      <c r="C176" s="2" t="s">
        <v>44</v>
      </c>
      <c r="D176" s="2">
        <v>136.30000000000001</v>
      </c>
      <c r="E176" s="2">
        <v>142.5</v>
      </c>
      <c r="F176" s="2">
        <v>140.5</v>
      </c>
      <c r="G176" s="2">
        <v>141.5</v>
      </c>
      <c r="H176" s="2">
        <v>121.6</v>
      </c>
      <c r="I176" s="2">
        <v>147.30000000000001</v>
      </c>
      <c r="J176" s="2">
        <v>168</v>
      </c>
      <c r="K176" s="2">
        <v>135.80000000000001</v>
      </c>
      <c r="L176" s="2">
        <v>122.5</v>
      </c>
      <c r="M176" s="2">
        <v>136</v>
      </c>
      <c r="N176" s="2">
        <v>131.9</v>
      </c>
      <c r="O176" s="2">
        <v>151.4</v>
      </c>
      <c r="P176" s="2">
        <v>142.4</v>
      </c>
      <c r="Q176" s="2">
        <v>152.1</v>
      </c>
      <c r="R176" s="2">
        <v>148.19999999999999</v>
      </c>
      <c r="S176" s="2">
        <v>141.5</v>
      </c>
      <c r="T176" s="2">
        <v>147.30000000000001</v>
      </c>
      <c r="U176" s="2" t="s">
        <v>32</v>
      </c>
      <c r="V176" s="2">
        <v>141.1</v>
      </c>
      <c r="W176" s="2">
        <v>139.4</v>
      </c>
      <c r="X176" s="2">
        <v>135.80000000000001</v>
      </c>
      <c r="Y176" s="2">
        <v>121.6</v>
      </c>
      <c r="Z176" s="2">
        <v>133.69999999999999</v>
      </c>
      <c r="AA176" s="2">
        <v>141.5</v>
      </c>
      <c r="AB176" s="2">
        <v>128.1</v>
      </c>
      <c r="AC176" s="2">
        <v>131.69999999999999</v>
      </c>
      <c r="AD176" s="2">
        <v>140</v>
      </c>
    </row>
    <row r="177" spans="1:30" ht="14.4" x14ac:dyDescent="0.3">
      <c r="A177" s="2" t="s">
        <v>33</v>
      </c>
      <c r="B177" s="2">
        <v>2017</v>
      </c>
      <c r="C177" s="2" t="s">
        <v>44</v>
      </c>
      <c r="D177" s="2">
        <v>134.30000000000001</v>
      </c>
      <c r="E177" s="2">
        <v>142.1</v>
      </c>
      <c r="F177" s="2">
        <v>146.69999999999999</v>
      </c>
      <c r="G177" s="2">
        <v>139.5</v>
      </c>
      <c r="H177" s="2">
        <v>115.2</v>
      </c>
      <c r="I177" s="2">
        <v>136.4</v>
      </c>
      <c r="J177" s="2">
        <v>185.2</v>
      </c>
      <c r="K177" s="2">
        <v>122.2</v>
      </c>
      <c r="L177" s="2">
        <v>123.9</v>
      </c>
      <c r="M177" s="2">
        <v>138.30000000000001</v>
      </c>
      <c r="N177" s="2">
        <v>125.4</v>
      </c>
      <c r="O177" s="2">
        <v>146</v>
      </c>
      <c r="P177" s="2">
        <v>141.5</v>
      </c>
      <c r="Q177" s="2">
        <v>156.19999999999999</v>
      </c>
      <c r="R177" s="2">
        <v>135</v>
      </c>
      <c r="S177" s="2">
        <v>125.4</v>
      </c>
      <c r="T177" s="2">
        <v>133.5</v>
      </c>
      <c r="U177" s="2">
        <v>138.6</v>
      </c>
      <c r="V177" s="2">
        <v>125.7</v>
      </c>
      <c r="W177" s="2">
        <v>128.80000000000001</v>
      </c>
      <c r="X177" s="2">
        <v>127.4</v>
      </c>
      <c r="Y177" s="2">
        <v>115.3</v>
      </c>
      <c r="Z177" s="2">
        <v>125.1</v>
      </c>
      <c r="AA177" s="2">
        <v>136.6</v>
      </c>
      <c r="AB177" s="2">
        <v>124.9</v>
      </c>
      <c r="AC177" s="2">
        <v>124.9</v>
      </c>
      <c r="AD177" s="2">
        <v>134.80000000000001</v>
      </c>
    </row>
    <row r="178" spans="1:30" ht="14.4" x14ac:dyDescent="0.3">
      <c r="A178" s="2" t="s">
        <v>34</v>
      </c>
      <c r="B178" s="2">
        <v>2017</v>
      </c>
      <c r="C178" s="2" t="s">
        <v>44</v>
      </c>
      <c r="D178" s="2">
        <v>135.69999999999999</v>
      </c>
      <c r="E178" s="2">
        <v>142.4</v>
      </c>
      <c r="F178" s="2">
        <v>142.9</v>
      </c>
      <c r="G178" s="2">
        <v>140.80000000000001</v>
      </c>
      <c r="H178" s="2">
        <v>119.2</v>
      </c>
      <c r="I178" s="2">
        <v>142.19999999999999</v>
      </c>
      <c r="J178" s="2">
        <v>173.8</v>
      </c>
      <c r="K178" s="2">
        <v>131.19999999999999</v>
      </c>
      <c r="L178" s="2">
        <v>123</v>
      </c>
      <c r="M178" s="2">
        <v>136.80000000000001</v>
      </c>
      <c r="N178" s="2">
        <v>129.19999999999999</v>
      </c>
      <c r="O178" s="2">
        <v>148.9</v>
      </c>
      <c r="P178" s="2">
        <v>142.1</v>
      </c>
      <c r="Q178" s="2">
        <v>153.19999999999999</v>
      </c>
      <c r="R178" s="2">
        <v>143</v>
      </c>
      <c r="S178" s="2">
        <v>134.80000000000001</v>
      </c>
      <c r="T178" s="2">
        <v>141.80000000000001</v>
      </c>
      <c r="U178" s="2">
        <v>138.6</v>
      </c>
      <c r="V178" s="2">
        <v>135.30000000000001</v>
      </c>
      <c r="W178" s="2">
        <v>134.4</v>
      </c>
      <c r="X178" s="2">
        <v>132.6</v>
      </c>
      <c r="Y178" s="2">
        <v>118.3</v>
      </c>
      <c r="Z178" s="2">
        <v>128.9</v>
      </c>
      <c r="AA178" s="2">
        <v>138.6</v>
      </c>
      <c r="AB178" s="2">
        <v>126.8</v>
      </c>
      <c r="AC178" s="2">
        <v>128.4</v>
      </c>
      <c r="AD178" s="2">
        <v>137.6</v>
      </c>
    </row>
    <row r="179" spans="1:30" ht="14.4" x14ac:dyDescent="0.3">
      <c r="A179" s="2" t="s">
        <v>30</v>
      </c>
      <c r="B179" s="2">
        <v>2017</v>
      </c>
      <c r="C179" s="2" t="s">
        <v>45</v>
      </c>
      <c r="D179" s="2">
        <v>136.4</v>
      </c>
      <c r="E179" s="2">
        <v>143.69999999999999</v>
      </c>
      <c r="F179" s="2">
        <v>144.80000000000001</v>
      </c>
      <c r="G179" s="2">
        <v>141.9</v>
      </c>
      <c r="H179" s="2">
        <v>123.1</v>
      </c>
      <c r="I179" s="2">
        <v>147.19999999999999</v>
      </c>
      <c r="J179" s="2">
        <v>161</v>
      </c>
      <c r="K179" s="2">
        <v>133.80000000000001</v>
      </c>
      <c r="L179" s="2">
        <v>121.9</v>
      </c>
      <c r="M179" s="2">
        <v>135.80000000000001</v>
      </c>
      <c r="N179" s="2">
        <v>131.1</v>
      </c>
      <c r="O179" s="2">
        <v>151.4</v>
      </c>
      <c r="P179" s="2">
        <v>141.5</v>
      </c>
      <c r="Q179" s="2">
        <v>153.19999999999999</v>
      </c>
      <c r="R179" s="2">
        <v>148</v>
      </c>
      <c r="S179" s="2">
        <v>141.9</v>
      </c>
      <c r="T179" s="2">
        <v>147.19999999999999</v>
      </c>
      <c r="U179" s="2" t="s">
        <v>32</v>
      </c>
      <c r="V179" s="2">
        <v>142.6</v>
      </c>
      <c r="W179" s="2">
        <v>139.5</v>
      </c>
      <c r="X179" s="2">
        <v>136.1</v>
      </c>
      <c r="Y179" s="2">
        <v>122</v>
      </c>
      <c r="Z179" s="2">
        <v>133.4</v>
      </c>
      <c r="AA179" s="2">
        <v>141.1</v>
      </c>
      <c r="AB179" s="2">
        <v>127.8</v>
      </c>
      <c r="AC179" s="2">
        <v>131.9</v>
      </c>
      <c r="AD179" s="2">
        <v>139.80000000000001</v>
      </c>
    </row>
    <row r="180" spans="1:30" ht="14.4" x14ac:dyDescent="0.3">
      <c r="A180" s="2" t="s">
        <v>33</v>
      </c>
      <c r="B180" s="2">
        <v>2017</v>
      </c>
      <c r="C180" s="2" t="s">
        <v>45</v>
      </c>
      <c r="D180" s="2">
        <v>134.4</v>
      </c>
      <c r="E180" s="2">
        <v>142.6</v>
      </c>
      <c r="F180" s="2">
        <v>145.9</v>
      </c>
      <c r="G180" s="2">
        <v>139.5</v>
      </c>
      <c r="H180" s="2">
        <v>115.9</v>
      </c>
      <c r="I180" s="2">
        <v>135</v>
      </c>
      <c r="J180" s="2">
        <v>163.19999999999999</v>
      </c>
      <c r="K180" s="2">
        <v>119.8</v>
      </c>
      <c r="L180" s="2">
        <v>120.7</v>
      </c>
      <c r="M180" s="2">
        <v>139.69999999999999</v>
      </c>
      <c r="N180" s="2">
        <v>125.7</v>
      </c>
      <c r="O180" s="2">
        <v>146.30000000000001</v>
      </c>
      <c r="P180" s="2">
        <v>138.80000000000001</v>
      </c>
      <c r="Q180" s="2">
        <v>157</v>
      </c>
      <c r="R180" s="2">
        <v>135.6</v>
      </c>
      <c r="S180" s="2">
        <v>125.6</v>
      </c>
      <c r="T180" s="2">
        <v>134</v>
      </c>
      <c r="U180" s="2">
        <v>139.1</v>
      </c>
      <c r="V180" s="2">
        <v>126.8</v>
      </c>
      <c r="W180" s="2">
        <v>129.30000000000001</v>
      </c>
      <c r="X180" s="2">
        <v>128.19999999999999</v>
      </c>
      <c r="Y180" s="2">
        <v>115.3</v>
      </c>
      <c r="Z180" s="2">
        <v>125.6</v>
      </c>
      <c r="AA180" s="2">
        <v>136.69999999999999</v>
      </c>
      <c r="AB180" s="2">
        <v>124.6</v>
      </c>
      <c r="AC180" s="2">
        <v>125.1</v>
      </c>
      <c r="AD180" s="2">
        <v>134.1</v>
      </c>
    </row>
    <row r="181" spans="1:30" ht="14.4" x14ac:dyDescent="0.3">
      <c r="A181" s="2" t="s">
        <v>34</v>
      </c>
      <c r="B181" s="2">
        <v>2017</v>
      </c>
      <c r="C181" s="2" t="s">
        <v>45</v>
      </c>
      <c r="D181" s="2">
        <v>135.80000000000001</v>
      </c>
      <c r="E181" s="2">
        <v>143.30000000000001</v>
      </c>
      <c r="F181" s="2">
        <v>145.19999999999999</v>
      </c>
      <c r="G181" s="2">
        <v>141</v>
      </c>
      <c r="H181" s="2">
        <v>120.5</v>
      </c>
      <c r="I181" s="2">
        <v>141.5</v>
      </c>
      <c r="J181" s="2">
        <v>161.69999999999999</v>
      </c>
      <c r="K181" s="2">
        <v>129.1</v>
      </c>
      <c r="L181" s="2">
        <v>121.5</v>
      </c>
      <c r="M181" s="2">
        <v>137.1</v>
      </c>
      <c r="N181" s="2">
        <v>128.80000000000001</v>
      </c>
      <c r="O181" s="2">
        <v>149</v>
      </c>
      <c r="P181" s="2">
        <v>140.5</v>
      </c>
      <c r="Q181" s="2">
        <v>154.19999999999999</v>
      </c>
      <c r="R181" s="2">
        <v>143.1</v>
      </c>
      <c r="S181" s="2">
        <v>135.1</v>
      </c>
      <c r="T181" s="2">
        <v>142</v>
      </c>
      <c r="U181" s="2">
        <v>139.1</v>
      </c>
      <c r="V181" s="2">
        <v>136.6</v>
      </c>
      <c r="W181" s="2">
        <v>134.69999999999999</v>
      </c>
      <c r="X181" s="2">
        <v>133.1</v>
      </c>
      <c r="Y181" s="2">
        <v>118.5</v>
      </c>
      <c r="Z181" s="2">
        <v>129</v>
      </c>
      <c r="AA181" s="2">
        <v>138.5</v>
      </c>
      <c r="AB181" s="2">
        <v>126.5</v>
      </c>
      <c r="AC181" s="2">
        <v>128.6</v>
      </c>
      <c r="AD181" s="2">
        <v>137.19999999999999</v>
      </c>
    </row>
    <row r="182" spans="1:30" ht="14.4" x14ac:dyDescent="0.3">
      <c r="A182" s="2" t="s">
        <v>30</v>
      </c>
      <c r="B182" s="2">
        <v>2018</v>
      </c>
      <c r="C182" s="2" t="s">
        <v>31</v>
      </c>
      <c r="D182" s="2">
        <v>136.6</v>
      </c>
      <c r="E182" s="2">
        <v>144.4</v>
      </c>
      <c r="F182" s="2">
        <v>143.80000000000001</v>
      </c>
      <c r="G182" s="2">
        <v>142</v>
      </c>
      <c r="H182" s="2">
        <v>123.2</v>
      </c>
      <c r="I182" s="2">
        <v>147.9</v>
      </c>
      <c r="J182" s="2">
        <v>152.1</v>
      </c>
      <c r="K182" s="2">
        <v>131.80000000000001</v>
      </c>
      <c r="L182" s="2">
        <v>119.5</v>
      </c>
      <c r="M182" s="2">
        <v>136</v>
      </c>
      <c r="N182" s="2">
        <v>131.19999999999999</v>
      </c>
      <c r="O182" s="2">
        <v>151.80000000000001</v>
      </c>
      <c r="P182" s="2">
        <v>140.4</v>
      </c>
      <c r="Q182" s="2">
        <v>153.6</v>
      </c>
      <c r="R182" s="2">
        <v>148.30000000000001</v>
      </c>
      <c r="S182" s="2">
        <v>142.30000000000001</v>
      </c>
      <c r="T182" s="2">
        <v>147.5</v>
      </c>
      <c r="U182" s="2" t="s">
        <v>32</v>
      </c>
      <c r="V182" s="2">
        <v>142.30000000000001</v>
      </c>
      <c r="W182" s="2">
        <v>139.80000000000001</v>
      </c>
      <c r="X182" s="2">
        <v>136</v>
      </c>
      <c r="Y182" s="2">
        <v>122.7</v>
      </c>
      <c r="Z182" s="2">
        <v>134.30000000000001</v>
      </c>
      <c r="AA182" s="2">
        <v>141.6</v>
      </c>
      <c r="AB182" s="2">
        <v>128.6</v>
      </c>
      <c r="AC182" s="2">
        <v>132.30000000000001</v>
      </c>
      <c r="AD182" s="2">
        <v>139.30000000000001</v>
      </c>
    </row>
    <row r="183" spans="1:30" ht="14.4" x14ac:dyDescent="0.3">
      <c r="A183" s="2" t="s">
        <v>33</v>
      </c>
      <c r="B183" s="2">
        <v>2018</v>
      </c>
      <c r="C183" s="2" t="s">
        <v>31</v>
      </c>
      <c r="D183" s="2">
        <v>134.6</v>
      </c>
      <c r="E183" s="2">
        <v>143.69999999999999</v>
      </c>
      <c r="F183" s="2">
        <v>143.6</v>
      </c>
      <c r="G183" s="2">
        <v>139.6</v>
      </c>
      <c r="H183" s="2">
        <v>116.4</v>
      </c>
      <c r="I183" s="2">
        <v>133.80000000000001</v>
      </c>
      <c r="J183" s="2">
        <v>150.5</v>
      </c>
      <c r="K183" s="2">
        <v>118.4</v>
      </c>
      <c r="L183" s="2">
        <v>117.3</v>
      </c>
      <c r="M183" s="2">
        <v>140.5</v>
      </c>
      <c r="N183" s="2">
        <v>125.9</v>
      </c>
      <c r="O183" s="2">
        <v>146.80000000000001</v>
      </c>
      <c r="P183" s="2">
        <v>137.19999999999999</v>
      </c>
      <c r="Q183" s="2">
        <v>157.69999999999999</v>
      </c>
      <c r="R183" s="2">
        <v>136</v>
      </c>
      <c r="S183" s="2">
        <v>125.9</v>
      </c>
      <c r="T183" s="2">
        <v>134.4</v>
      </c>
      <c r="U183" s="2">
        <v>140.4</v>
      </c>
      <c r="V183" s="2">
        <v>127.3</v>
      </c>
      <c r="W183" s="2">
        <v>129.5</v>
      </c>
      <c r="X183" s="2">
        <v>129</v>
      </c>
      <c r="Y183" s="2">
        <v>116.3</v>
      </c>
      <c r="Z183" s="2">
        <v>126.2</v>
      </c>
      <c r="AA183" s="2">
        <v>137.1</v>
      </c>
      <c r="AB183" s="2">
        <v>125.5</v>
      </c>
      <c r="AC183" s="2">
        <v>125.8</v>
      </c>
      <c r="AD183" s="2">
        <v>134.1</v>
      </c>
    </row>
    <row r="184" spans="1:30" ht="14.4" x14ac:dyDescent="0.3">
      <c r="A184" s="2" t="s">
        <v>34</v>
      </c>
      <c r="B184" s="2">
        <v>2018</v>
      </c>
      <c r="C184" s="2" t="s">
        <v>31</v>
      </c>
      <c r="D184" s="2">
        <v>136</v>
      </c>
      <c r="E184" s="2">
        <v>144.19999999999999</v>
      </c>
      <c r="F184" s="2">
        <v>143.69999999999999</v>
      </c>
      <c r="G184" s="2">
        <v>141.1</v>
      </c>
      <c r="H184" s="2">
        <v>120.7</v>
      </c>
      <c r="I184" s="2">
        <v>141.30000000000001</v>
      </c>
      <c r="J184" s="2">
        <v>151.6</v>
      </c>
      <c r="K184" s="2">
        <v>127.3</v>
      </c>
      <c r="L184" s="2">
        <v>118.8</v>
      </c>
      <c r="M184" s="2">
        <v>137.5</v>
      </c>
      <c r="N184" s="2">
        <v>129</v>
      </c>
      <c r="O184" s="2">
        <v>149.5</v>
      </c>
      <c r="P184" s="2">
        <v>139.19999999999999</v>
      </c>
      <c r="Q184" s="2">
        <v>154.69999999999999</v>
      </c>
      <c r="R184" s="2">
        <v>143.5</v>
      </c>
      <c r="S184" s="2">
        <v>135.5</v>
      </c>
      <c r="T184" s="2">
        <v>142.30000000000001</v>
      </c>
      <c r="U184" s="2">
        <v>140.4</v>
      </c>
      <c r="V184" s="2">
        <v>136.6</v>
      </c>
      <c r="W184" s="2">
        <v>134.9</v>
      </c>
      <c r="X184" s="2">
        <v>133.30000000000001</v>
      </c>
      <c r="Y184" s="2">
        <v>119.3</v>
      </c>
      <c r="Z184" s="2">
        <v>129.69999999999999</v>
      </c>
      <c r="AA184" s="2">
        <v>139</v>
      </c>
      <c r="AB184" s="2">
        <v>127.3</v>
      </c>
      <c r="AC184" s="2">
        <v>129.1</v>
      </c>
      <c r="AD184" s="2">
        <v>136.9</v>
      </c>
    </row>
    <row r="185" spans="1:30" ht="14.4" x14ac:dyDescent="0.3">
      <c r="A185" s="2" t="s">
        <v>30</v>
      </c>
      <c r="B185" s="2">
        <v>2018</v>
      </c>
      <c r="C185" s="2" t="s">
        <v>35</v>
      </c>
      <c r="D185" s="2">
        <v>136.4</v>
      </c>
      <c r="E185" s="2">
        <v>143.69999999999999</v>
      </c>
      <c r="F185" s="2">
        <v>140.6</v>
      </c>
      <c r="G185" s="2">
        <v>141.5</v>
      </c>
      <c r="H185" s="2">
        <v>122.9</v>
      </c>
      <c r="I185" s="2">
        <v>149.4</v>
      </c>
      <c r="J185" s="2">
        <v>142.4</v>
      </c>
      <c r="K185" s="2">
        <v>130.19999999999999</v>
      </c>
      <c r="L185" s="2">
        <v>117.9</v>
      </c>
      <c r="M185" s="2">
        <v>135.6</v>
      </c>
      <c r="N185" s="2">
        <v>130.5</v>
      </c>
      <c r="O185" s="2">
        <v>151.69999999999999</v>
      </c>
      <c r="P185" s="2">
        <v>138.69999999999999</v>
      </c>
      <c r="Q185" s="2">
        <v>153.30000000000001</v>
      </c>
      <c r="R185" s="2">
        <v>148.69999999999999</v>
      </c>
      <c r="S185" s="2">
        <v>142.4</v>
      </c>
      <c r="T185" s="2">
        <v>147.80000000000001</v>
      </c>
      <c r="U185" s="2" t="s">
        <v>32</v>
      </c>
      <c r="V185" s="2">
        <v>142.4</v>
      </c>
      <c r="W185" s="2">
        <v>139.9</v>
      </c>
      <c r="X185" s="2">
        <v>136.19999999999999</v>
      </c>
      <c r="Y185" s="2">
        <v>123.3</v>
      </c>
      <c r="Z185" s="2">
        <v>134.30000000000001</v>
      </c>
      <c r="AA185" s="2">
        <v>141.5</v>
      </c>
      <c r="AB185" s="2">
        <v>128.80000000000001</v>
      </c>
      <c r="AC185" s="2">
        <v>132.5</v>
      </c>
      <c r="AD185" s="2">
        <v>138.5</v>
      </c>
    </row>
    <row r="186" spans="1:30" ht="14.4" x14ac:dyDescent="0.3">
      <c r="A186" s="2" t="s">
        <v>33</v>
      </c>
      <c r="B186" s="2">
        <v>2018</v>
      </c>
      <c r="C186" s="2" t="s">
        <v>35</v>
      </c>
      <c r="D186" s="2">
        <v>134.80000000000001</v>
      </c>
      <c r="E186" s="2">
        <v>143</v>
      </c>
      <c r="F186" s="2">
        <v>139.9</v>
      </c>
      <c r="G186" s="2">
        <v>139.9</v>
      </c>
      <c r="H186" s="2">
        <v>116.2</v>
      </c>
      <c r="I186" s="2">
        <v>135.5</v>
      </c>
      <c r="J186" s="2">
        <v>136.9</v>
      </c>
      <c r="K186" s="2">
        <v>117</v>
      </c>
      <c r="L186" s="2">
        <v>115.4</v>
      </c>
      <c r="M186" s="2">
        <v>140.69999999999999</v>
      </c>
      <c r="N186" s="2">
        <v>125.9</v>
      </c>
      <c r="O186" s="2">
        <v>147.1</v>
      </c>
      <c r="P186" s="2">
        <v>135.6</v>
      </c>
      <c r="Q186" s="2">
        <v>159.30000000000001</v>
      </c>
      <c r="R186" s="2">
        <v>136.30000000000001</v>
      </c>
      <c r="S186" s="2">
        <v>126.1</v>
      </c>
      <c r="T186" s="2">
        <v>134.69999999999999</v>
      </c>
      <c r="U186" s="2">
        <v>141.30000000000001</v>
      </c>
      <c r="V186" s="2">
        <v>127.3</v>
      </c>
      <c r="W186" s="2">
        <v>129.9</v>
      </c>
      <c r="X186" s="2">
        <v>129.80000000000001</v>
      </c>
      <c r="Y186" s="2">
        <v>117.4</v>
      </c>
      <c r="Z186" s="2">
        <v>126.5</v>
      </c>
      <c r="AA186" s="2">
        <v>137.19999999999999</v>
      </c>
      <c r="AB186" s="2">
        <v>126.2</v>
      </c>
      <c r="AC186" s="2">
        <v>126.5</v>
      </c>
      <c r="AD186" s="2">
        <v>134</v>
      </c>
    </row>
    <row r="187" spans="1:30" ht="14.4" x14ac:dyDescent="0.3">
      <c r="A187" s="2" t="s">
        <v>34</v>
      </c>
      <c r="B187" s="2">
        <v>2018</v>
      </c>
      <c r="C187" s="2" t="s">
        <v>35</v>
      </c>
      <c r="D187" s="2">
        <v>135.9</v>
      </c>
      <c r="E187" s="2">
        <v>143.5</v>
      </c>
      <c r="F187" s="2">
        <v>140.30000000000001</v>
      </c>
      <c r="G187" s="2">
        <v>140.9</v>
      </c>
      <c r="H187" s="2">
        <v>120.4</v>
      </c>
      <c r="I187" s="2">
        <v>142.9</v>
      </c>
      <c r="J187" s="2">
        <v>140.5</v>
      </c>
      <c r="K187" s="2">
        <v>125.8</v>
      </c>
      <c r="L187" s="2">
        <v>117.1</v>
      </c>
      <c r="M187" s="2">
        <v>137.30000000000001</v>
      </c>
      <c r="N187" s="2">
        <v>128.6</v>
      </c>
      <c r="O187" s="2">
        <v>149.6</v>
      </c>
      <c r="P187" s="2">
        <v>137.6</v>
      </c>
      <c r="Q187" s="2">
        <v>154.9</v>
      </c>
      <c r="R187" s="2">
        <v>143.80000000000001</v>
      </c>
      <c r="S187" s="2">
        <v>135.6</v>
      </c>
      <c r="T187" s="2">
        <v>142.6</v>
      </c>
      <c r="U187" s="2">
        <v>141.30000000000001</v>
      </c>
      <c r="V187" s="2">
        <v>136.69999999999999</v>
      </c>
      <c r="W187" s="2">
        <v>135.19999999999999</v>
      </c>
      <c r="X187" s="2">
        <v>133.80000000000001</v>
      </c>
      <c r="Y187" s="2">
        <v>120.2</v>
      </c>
      <c r="Z187" s="2">
        <v>129.9</v>
      </c>
      <c r="AA187" s="2">
        <v>139</v>
      </c>
      <c r="AB187" s="2">
        <v>127.7</v>
      </c>
      <c r="AC187" s="2">
        <v>129.6</v>
      </c>
      <c r="AD187" s="2">
        <v>136.4</v>
      </c>
    </row>
    <row r="188" spans="1:30" ht="14.4" x14ac:dyDescent="0.3">
      <c r="A188" s="2" t="s">
        <v>30</v>
      </c>
      <c r="B188" s="2">
        <v>2018</v>
      </c>
      <c r="C188" s="2" t="s">
        <v>36</v>
      </c>
      <c r="D188" s="2">
        <v>136.80000000000001</v>
      </c>
      <c r="E188" s="2">
        <v>143.80000000000001</v>
      </c>
      <c r="F188" s="2">
        <v>140</v>
      </c>
      <c r="G188" s="2">
        <v>142</v>
      </c>
      <c r="H188" s="2">
        <v>123.2</v>
      </c>
      <c r="I188" s="2">
        <v>152.9</v>
      </c>
      <c r="J188" s="2">
        <v>138</v>
      </c>
      <c r="K188" s="2">
        <v>129.30000000000001</v>
      </c>
      <c r="L188" s="2">
        <v>117.1</v>
      </c>
      <c r="M188" s="2">
        <v>136.30000000000001</v>
      </c>
      <c r="N188" s="2">
        <v>131.19999999999999</v>
      </c>
      <c r="O188" s="2">
        <v>152.80000000000001</v>
      </c>
      <c r="P188" s="2">
        <v>138.6</v>
      </c>
      <c r="Q188" s="2">
        <v>155.1</v>
      </c>
      <c r="R188" s="2">
        <v>149.19999999999999</v>
      </c>
      <c r="S188" s="2">
        <v>143</v>
      </c>
      <c r="T188" s="2">
        <v>148.30000000000001</v>
      </c>
      <c r="U188" s="2" t="s">
        <v>32</v>
      </c>
      <c r="V188" s="2">
        <v>142.6</v>
      </c>
      <c r="W188" s="2">
        <v>139.9</v>
      </c>
      <c r="X188" s="2">
        <v>136.69999999999999</v>
      </c>
      <c r="Y188" s="2">
        <v>124.6</v>
      </c>
      <c r="Z188" s="2">
        <v>135.1</v>
      </c>
      <c r="AA188" s="2">
        <v>142.69999999999999</v>
      </c>
      <c r="AB188" s="2">
        <v>129.30000000000001</v>
      </c>
      <c r="AC188" s="2">
        <v>133.30000000000001</v>
      </c>
      <c r="AD188" s="2">
        <v>138.69999999999999</v>
      </c>
    </row>
    <row r="189" spans="1:30" ht="14.4" x14ac:dyDescent="0.3">
      <c r="A189" s="2" t="s">
        <v>33</v>
      </c>
      <c r="B189" s="2">
        <v>2018</v>
      </c>
      <c r="C189" s="2" t="s">
        <v>36</v>
      </c>
      <c r="D189" s="2">
        <v>135</v>
      </c>
      <c r="E189" s="2">
        <v>143.1</v>
      </c>
      <c r="F189" s="2">
        <v>135.5</v>
      </c>
      <c r="G189" s="2">
        <v>139.9</v>
      </c>
      <c r="H189" s="2">
        <v>116.5</v>
      </c>
      <c r="I189" s="2">
        <v>138.5</v>
      </c>
      <c r="J189" s="2">
        <v>128</v>
      </c>
      <c r="K189" s="2">
        <v>115.5</v>
      </c>
      <c r="L189" s="2">
        <v>114.2</v>
      </c>
      <c r="M189" s="2">
        <v>140.69999999999999</v>
      </c>
      <c r="N189" s="2">
        <v>126.2</v>
      </c>
      <c r="O189" s="2">
        <v>147.6</v>
      </c>
      <c r="P189" s="2">
        <v>134.80000000000001</v>
      </c>
      <c r="Q189" s="2">
        <v>159.69999999999999</v>
      </c>
      <c r="R189" s="2">
        <v>136.69999999999999</v>
      </c>
      <c r="S189" s="2">
        <v>126.7</v>
      </c>
      <c r="T189" s="2">
        <v>135.19999999999999</v>
      </c>
      <c r="U189" s="2">
        <v>142</v>
      </c>
      <c r="V189" s="2">
        <v>126.4</v>
      </c>
      <c r="W189" s="2">
        <v>130.80000000000001</v>
      </c>
      <c r="X189" s="2">
        <v>130.5</v>
      </c>
      <c r="Y189" s="2">
        <v>117.8</v>
      </c>
      <c r="Z189" s="2">
        <v>126.8</v>
      </c>
      <c r="AA189" s="2">
        <v>137.80000000000001</v>
      </c>
      <c r="AB189" s="2">
        <v>126.7</v>
      </c>
      <c r="AC189" s="2">
        <v>127.1</v>
      </c>
      <c r="AD189" s="2">
        <v>134</v>
      </c>
    </row>
    <row r="190" spans="1:30" ht="14.4" x14ac:dyDescent="0.3">
      <c r="A190" s="2" t="s">
        <v>34</v>
      </c>
      <c r="B190" s="2">
        <v>2018</v>
      </c>
      <c r="C190" s="2" t="s">
        <v>36</v>
      </c>
      <c r="D190" s="2">
        <v>136.19999999999999</v>
      </c>
      <c r="E190" s="2">
        <v>143.6</v>
      </c>
      <c r="F190" s="2">
        <v>138.30000000000001</v>
      </c>
      <c r="G190" s="2">
        <v>141.19999999999999</v>
      </c>
      <c r="H190" s="2">
        <v>120.7</v>
      </c>
      <c r="I190" s="2">
        <v>146.19999999999999</v>
      </c>
      <c r="J190" s="2">
        <v>134.6</v>
      </c>
      <c r="K190" s="2">
        <v>124.6</v>
      </c>
      <c r="L190" s="2">
        <v>116.1</v>
      </c>
      <c r="M190" s="2">
        <v>137.80000000000001</v>
      </c>
      <c r="N190" s="2">
        <v>129.1</v>
      </c>
      <c r="O190" s="2">
        <v>150.4</v>
      </c>
      <c r="P190" s="2">
        <v>137.19999999999999</v>
      </c>
      <c r="Q190" s="2">
        <v>156.30000000000001</v>
      </c>
      <c r="R190" s="2">
        <v>144.30000000000001</v>
      </c>
      <c r="S190" s="2">
        <v>136.19999999999999</v>
      </c>
      <c r="T190" s="2">
        <v>143.1</v>
      </c>
      <c r="U190" s="2">
        <v>142</v>
      </c>
      <c r="V190" s="2">
        <v>136.5</v>
      </c>
      <c r="W190" s="2">
        <v>135.6</v>
      </c>
      <c r="X190" s="2">
        <v>134.30000000000001</v>
      </c>
      <c r="Y190" s="2">
        <v>121</v>
      </c>
      <c r="Z190" s="2">
        <v>130.4</v>
      </c>
      <c r="AA190" s="2">
        <v>139.80000000000001</v>
      </c>
      <c r="AB190" s="2">
        <v>128.19999999999999</v>
      </c>
      <c r="AC190" s="2">
        <v>130.30000000000001</v>
      </c>
      <c r="AD190" s="2">
        <v>136.5</v>
      </c>
    </row>
    <row r="191" spans="1:30" ht="14.4" x14ac:dyDescent="0.3">
      <c r="A191" s="2" t="s">
        <v>30</v>
      </c>
      <c r="B191" s="2">
        <v>2018</v>
      </c>
      <c r="C191" s="2" t="s">
        <v>37</v>
      </c>
      <c r="D191" s="2">
        <v>137.1</v>
      </c>
      <c r="E191" s="2">
        <v>144.5</v>
      </c>
      <c r="F191" s="2">
        <v>135.9</v>
      </c>
      <c r="G191" s="2">
        <v>142.4</v>
      </c>
      <c r="H191" s="2">
        <v>123.5</v>
      </c>
      <c r="I191" s="2">
        <v>156.4</v>
      </c>
      <c r="J191" s="2">
        <v>135.1</v>
      </c>
      <c r="K191" s="2">
        <v>128.4</v>
      </c>
      <c r="L191" s="2">
        <v>115.2</v>
      </c>
      <c r="M191" s="2">
        <v>137.19999999999999</v>
      </c>
      <c r="N191" s="2">
        <v>131.9</v>
      </c>
      <c r="O191" s="2">
        <v>153.80000000000001</v>
      </c>
      <c r="P191" s="2">
        <v>138.6</v>
      </c>
      <c r="Q191" s="2">
        <v>156.1</v>
      </c>
      <c r="R191" s="2">
        <v>150.1</v>
      </c>
      <c r="S191" s="2">
        <v>143.30000000000001</v>
      </c>
      <c r="T191" s="2">
        <v>149.1</v>
      </c>
      <c r="U191" s="2" t="s">
        <v>32</v>
      </c>
      <c r="V191" s="2">
        <v>143.80000000000001</v>
      </c>
      <c r="W191" s="2">
        <v>140.9</v>
      </c>
      <c r="X191" s="2">
        <v>137.6</v>
      </c>
      <c r="Y191" s="2">
        <v>125.3</v>
      </c>
      <c r="Z191" s="2">
        <v>136</v>
      </c>
      <c r="AA191" s="2">
        <v>143.69999999999999</v>
      </c>
      <c r="AB191" s="2">
        <v>130.4</v>
      </c>
      <c r="AC191" s="2">
        <v>134.19999999999999</v>
      </c>
      <c r="AD191" s="2">
        <v>139.1</v>
      </c>
    </row>
    <row r="192" spans="1:30" ht="14.4" x14ac:dyDescent="0.3">
      <c r="A192" s="2" t="s">
        <v>33</v>
      </c>
      <c r="B192" s="2">
        <v>2018</v>
      </c>
      <c r="C192" s="2" t="s">
        <v>37</v>
      </c>
      <c r="D192" s="2">
        <v>135</v>
      </c>
      <c r="E192" s="2">
        <v>144.30000000000001</v>
      </c>
      <c r="F192" s="2">
        <v>130.80000000000001</v>
      </c>
      <c r="G192" s="2">
        <v>140.30000000000001</v>
      </c>
      <c r="H192" s="2">
        <v>116.6</v>
      </c>
      <c r="I192" s="2">
        <v>150.1</v>
      </c>
      <c r="J192" s="2">
        <v>127.6</v>
      </c>
      <c r="K192" s="2">
        <v>114</v>
      </c>
      <c r="L192" s="2">
        <v>110.6</v>
      </c>
      <c r="M192" s="2">
        <v>140.19999999999999</v>
      </c>
      <c r="N192" s="2">
        <v>126.5</v>
      </c>
      <c r="O192" s="2">
        <v>148.30000000000001</v>
      </c>
      <c r="P192" s="2">
        <v>135.69999999999999</v>
      </c>
      <c r="Q192" s="2">
        <v>159.19999999999999</v>
      </c>
      <c r="R192" s="2">
        <v>137.80000000000001</v>
      </c>
      <c r="S192" s="2">
        <v>127.4</v>
      </c>
      <c r="T192" s="2">
        <v>136.19999999999999</v>
      </c>
      <c r="U192" s="2">
        <v>142.9</v>
      </c>
      <c r="V192" s="2">
        <v>124.6</v>
      </c>
      <c r="W192" s="2">
        <v>131.80000000000001</v>
      </c>
      <c r="X192" s="2">
        <v>131.30000000000001</v>
      </c>
      <c r="Y192" s="2">
        <v>118.9</v>
      </c>
      <c r="Z192" s="2">
        <v>127.6</v>
      </c>
      <c r="AA192" s="2">
        <v>139.69999999999999</v>
      </c>
      <c r="AB192" s="2">
        <v>127.6</v>
      </c>
      <c r="AC192" s="2">
        <v>128.19999999999999</v>
      </c>
      <c r="AD192" s="2">
        <v>134.80000000000001</v>
      </c>
    </row>
    <row r="193" spans="1:30" ht="14.4" x14ac:dyDescent="0.3">
      <c r="A193" s="2" t="s">
        <v>34</v>
      </c>
      <c r="B193" s="2">
        <v>2018</v>
      </c>
      <c r="C193" s="2" t="s">
        <v>37</v>
      </c>
      <c r="D193" s="2">
        <v>136.4</v>
      </c>
      <c r="E193" s="2">
        <v>144.4</v>
      </c>
      <c r="F193" s="2">
        <v>133.9</v>
      </c>
      <c r="G193" s="2">
        <v>141.6</v>
      </c>
      <c r="H193" s="2">
        <v>121</v>
      </c>
      <c r="I193" s="2">
        <v>153.5</v>
      </c>
      <c r="J193" s="2">
        <v>132.6</v>
      </c>
      <c r="K193" s="2">
        <v>123.5</v>
      </c>
      <c r="L193" s="2">
        <v>113.7</v>
      </c>
      <c r="M193" s="2">
        <v>138.19999999999999</v>
      </c>
      <c r="N193" s="2">
        <v>129.6</v>
      </c>
      <c r="O193" s="2">
        <v>151.19999999999999</v>
      </c>
      <c r="P193" s="2">
        <v>137.5</v>
      </c>
      <c r="Q193" s="2">
        <v>156.9</v>
      </c>
      <c r="R193" s="2">
        <v>145.30000000000001</v>
      </c>
      <c r="S193" s="2">
        <v>136.69999999999999</v>
      </c>
      <c r="T193" s="2">
        <v>144</v>
      </c>
      <c r="U193" s="2">
        <v>142.9</v>
      </c>
      <c r="V193" s="2">
        <v>136.5</v>
      </c>
      <c r="W193" s="2">
        <v>136.6</v>
      </c>
      <c r="X193" s="2">
        <v>135.19999999999999</v>
      </c>
      <c r="Y193" s="2">
        <v>121.9</v>
      </c>
      <c r="Z193" s="2">
        <v>131.30000000000001</v>
      </c>
      <c r="AA193" s="2">
        <v>141.4</v>
      </c>
      <c r="AB193" s="2">
        <v>129.19999999999999</v>
      </c>
      <c r="AC193" s="2">
        <v>131.30000000000001</v>
      </c>
      <c r="AD193" s="2">
        <v>137.1</v>
      </c>
    </row>
    <row r="194" spans="1:30" ht="14.4" x14ac:dyDescent="0.3">
      <c r="A194" s="2" t="s">
        <v>30</v>
      </c>
      <c r="B194" s="2">
        <v>2018</v>
      </c>
      <c r="C194" s="2" t="s">
        <v>38</v>
      </c>
      <c r="D194" s="2">
        <v>137.4</v>
      </c>
      <c r="E194" s="2">
        <v>145.69999999999999</v>
      </c>
      <c r="F194" s="2">
        <v>135.5</v>
      </c>
      <c r="G194" s="2">
        <v>142.9</v>
      </c>
      <c r="H194" s="2">
        <v>123.6</v>
      </c>
      <c r="I194" s="2">
        <v>157.5</v>
      </c>
      <c r="J194" s="2">
        <v>137.80000000000001</v>
      </c>
      <c r="K194" s="2">
        <v>127.2</v>
      </c>
      <c r="L194" s="2">
        <v>111.8</v>
      </c>
      <c r="M194" s="2">
        <v>137.4</v>
      </c>
      <c r="N194" s="2">
        <v>132.19999999999999</v>
      </c>
      <c r="O194" s="2">
        <v>154.30000000000001</v>
      </c>
      <c r="P194" s="2">
        <v>139.1</v>
      </c>
      <c r="Q194" s="2">
        <v>157</v>
      </c>
      <c r="R194" s="2">
        <v>150.80000000000001</v>
      </c>
      <c r="S194" s="2">
        <v>144.1</v>
      </c>
      <c r="T194" s="2">
        <v>149.80000000000001</v>
      </c>
      <c r="U194" s="2" t="s">
        <v>32</v>
      </c>
      <c r="V194" s="2">
        <v>144.30000000000001</v>
      </c>
      <c r="W194" s="2">
        <v>141.80000000000001</v>
      </c>
      <c r="X194" s="2">
        <v>138.4</v>
      </c>
      <c r="Y194" s="2">
        <v>126.4</v>
      </c>
      <c r="Z194" s="2">
        <v>136.80000000000001</v>
      </c>
      <c r="AA194" s="2">
        <v>144.4</v>
      </c>
      <c r="AB194" s="2">
        <v>131.19999999999999</v>
      </c>
      <c r="AC194" s="2">
        <v>135.1</v>
      </c>
      <c r="AD194" s="2">
        <v>139.80000000000001</v>
      </c>
    </row>
    <row r="195" spans="1:30" ht="14.4" x14ac:dyDescent="0.3">
      <c r="A195" s="2" t="s">
        <v>33</v>
      </c>
      <c r="B195" s="2">
        <v>2018</v>
      </c>
      <c r="C195" s="2" t="s">
        <v>38</v>
      </c>
      <c r="D195" s="2">
        <v>135</v>
      </c>
      <c r="E195" s="2">
        <v>148.19999999999999</v>
      </c>
      <c r="F195" s="2">
        <v>130.5</v>
      </c>
      <c r="G195" s="2">
        <v>140.69999999999999</v>
      </c>
      <c r="H195" s="2">
        <v>116.4</v>
      </c>
      <c r="I195" s="2">
        <v>151.30000000000001</v>
      </c>
      <c r="J195" s="2">
        <v>131.4</v>
      </c>
      <c r="K195" s="2">
        <v>112.8</v>
      </c>
      <c r="L195" s="2">
        <v>105.3</v>
      </c>
      <c r="M195" s="2">
        <v>139.6</v>
      </c>
      <c r="N195" s="2">
        <v>126.6</v>
      </c>
      <c r="O195" s="2">
        <v>148.69999999999999</v>
      </c>
      <c r="P195" s="2">
        <v>136.4</v>
      </c>
      <c r="Q195" s="2">
        <v>160.30000000000001</v>
      </c>
      <c r="R195" s="2">
        <v>138.6</v>
      </c>
      <c r="S195" s="2">
        <v>127.9</v>
      </c>
      <c r="T195" s="2">
        <v>137</v>
      </c>
      <c r="U195" s="2">
        <v>143.19999999999999</v>
      </c>
      <c r="V195" s="2">
        <v>124.7</v>
      </c>
      <c r="W195" s="2">
        <v>132.5</v>
      </c>
      <c r="X195" s="2">
        <v>132</v>
      </c>
      <c r="Y195" s="2">
        <v>119.8</v>
      </c>
      <c r="Z195" s="2">
        <v>128</v>
      </c>
      <c r="AA195" s="2">
        <v>140.4</v>
      </c>
      <c r="AB195" s="2">
        <v>128.1</v>
      </c>
      <c r="AC195" s="2">
        <v>128.9</v>
      </c>
      <c r="AD195" s="2">
        <v>135.4</v>
      </c>
    </row>
    <row r="196" spans="1:30" ht="14.4" x14ac:dyDescent="0.3">
      <c r="A196" s="2" t="s">
        <v>34</v>
      </c>
      <c r="B196" s="2">
        <v>2018</v>
      </c>
      <c r="C196" s="2" t="s">
        <v>38</v>
      </c>
      <c r="D196" s="2">
        <v>136.6</v>
      </c>
      <c r="E196" s="2">
        <v>146.6</v>
      </c>
      <c r="F196" s="2">
        <v>133.6</v>
      </c>
      <c r="G196" s="2">
        <v>142.1</v>
      </c>
      <c r="H196" s="2">
        <v>121</v>
      </c>
      <c r="I196" s="2">
        <v>154.6</v>
      </c>
      <c r="J196" s="2">
        <v>135.6</v>
      </c>
      <c r="K196" s="2">
        <v>122.3</v>
      </c>
      <c r="L196" s="2">
        <v>109.6</v>
      </c>
      <c r="M196" s="2">
        <v>138.1</v>
      </c>
      <c r="N196" s="2">
        <v>129.9</v>
      </c>
      <c r="O196" s="2">
        <v>151.69999999999999</v>
      </c>
      <c r="P196" s="2">
        <v>138.1</v>
      </c>
      <c r="Q196" s="2">
        <v>157.9</v>
      </c>
      <c r="R196" s="2">
        <v>146</v>
      </c>
      <c r="S196" s="2">
        <v>137.4</v>
      </c>
      <c r="T196" s="2">
        <v>144.69999999999999</v>
      </c>
      <c r="U196" s="2">
        <v>143.19999999999999</v>
      </c>
      <c r="V196" s="2">
        <v>136.9</v>
      </c>
      <c r="W196" s="2">
        <v>137.4</v>
      </c>
      <c r="X196" s="2">
        <v>136</v>
      </c>
      <c r="Y196" s="2">
        <v>122.9</v>
      </c>
      <c r="Z196" s="2">
        <v>131.80000000000001</v>
      </c>
      <c r="AA196" s="2">
        <v>142.1</v>
      </c>
      <c r="AB196" s="2">
        <v>129.9</v>
      </c>
      <c r="AC196" s="2">
        <v>132.1</v>
      </c>
      <c r="AD196" s="2">
        <v>137.80000000000001</v>
      </c>
    </row>
    <row r="197" spans="1:30" ht="14.4" x14ac:dyDescent="0.3">
      <c r="A197" s="2" t="s">
        <v>30</v>
      </c>
      <c r="B197" s="2">
        <v>2018</v>
      </c>
      <c r="C197" s="2" t="s">
        <v>39</v>
      </c>
      <c r="D197" s="2">
        <v>137.6</v>
      </c>
      <c r="E197" s="2">
        <v>148.1</v>
      </c>
      <c r="F197" s="2">
        <v>136.69999999999999</v>
      </c>
      <c r="G197" s="2">
        <v>143.19999999999999</v>
      </c>
      <c r="H197" s="2">
        <v>124</v>
      </c>
      <c r="I197" s="2">
        <v>154.1</v>
      </c>
      <c r="J197" s="2">
        <v>143.5</v>
      </c>
      <c r="K197" s="2">
        <v>126</v>
      </c>
      <c r="L197" s="2">
        <v>112.4</v>
      </c>
      <c r="M197" s="2">
        <v>137.6</v>
      </c>
      <c r="N197" s="2">
        <v>132.80000000000001</v>
      </c>
      <c r="O197" s="2">
        <v>154.30000000000001</v>
      </c>
      <c r="P197" s="2">
        <v>140</v>
      </c>
      <c r="Q197" s="2">
        <v>157.30000000000001</v>
      </c>
      <c r="R197" s="2">
        <v>151.30000000000001</v>
      </c>
      <c r="S197" s="2">
        <v>144.69999999999999</v>
      </c>
      <c r="T197" s="2">
        <v>150.30000000000001</v>
      </c>
      <c r="U197" s="2" t="s">
        <v>32</v>
      </c>
      <c r="V197" s="2">
        <v>145.1</v>
      </c>
      <c r="W197" s="2">
        <v>142.19999999999999</v>
      </c>
      <c r="X197" s="2">
        <v>138.4</v>
      </c>
      <c r="Y197" s="2">
        <v>127.4</v>
      </c>
      <c r="Z197" s="2">
        <v>137.80000000000001</v>
      </c>
      <c r="AA197" s="2">
        <v>145.1</v>
      </c>
      <c r="AB197" s="2">
        <v>131.4</v>
      </c>
      <c r="AC197" s="2">
        <v>135.6</v>
      </c>
      <c r="AD197" s="2">
        <v>140.5</v>
      </c>
    </row>
    <row r="198" spans="1:30" ht="14.4" x14ac:dyDescent="0.3">
      <c r="A198" s="2" t="s">
        <v>33</v>
      </c>
      <c r="B198" s="2">
        <v>2018</v>
      </c>
      <c r="C198" s="2" t="s">
        <v>39</v>
      </c>
      <c r="D198" s="2">
        <v>135.30000000000001</v>
      </c>
      <c r="E198" s="2">
        <v>149.69999999999999</v>
      </c>
      <c r="F198" s="2">
        <v>133.9</v>
      </c>
      <c r="G198" s="2">
        <v>140.80000000000001</v>
      </c>
      <c r="H198" s="2">
        <v>116.6</v>
      </c>
      <c r="I198" s="2">
        <v>152.19999999999999</v>
      </c>
      <c r="J198" s="2">
        <v>144</v>
      </c>
      <c r="K198" s="2">
        <v>112.3</v>
      </c>
      <c r="L198" s="2">
        <v>108.4</v>
      </c>
      <c r="M198" s="2">
        <v>140</v>
      </c>
      <c r="N198" s="2">
        <v>126.7</v>
      </c>
      <c r="O198" s="2">
        <v>149</v>
      </c>
      <c r="P198" s="2">
        <v>138.4</v>
      </c>
      <c r="Q198" s="2">
        <v>161</v>
      </c>
      <c r="R198" s="2">
        <v>138.9</v>
      </c>
      <c r="S198" s="2">
        <v>128.69999999999999</v>
      </c>
      <c r="T198" s="2">
        <v>137.4</v>
      </c>
      <c r="U198" s="2">
        <v>142.5</v>
      </c>
      <c r="V198" s="2">
        <v>126.5</v>
      </c>
      <c r="W198" s="2">
        <v>133.1</v>
      </c>
      <c r="X198" s="2">
        <v>132.6</v>
      </c>
      <c r="Y198" s="2">
        <v>120.4</v>
      </c>
      <c r="Z198" s="2">
        <v>128.5</v>
      </c>
      <c r="AA198" s="2">
        <v>141.19999999999999</v>
      </c>
      <c r="AB198" s="2">
        <v>128.19999999999999</v>
      </c>
      <c r="AC198" s="2">
        <v>129.5</v>
      </c>
      <c r="AD198" s="2">
        <v>136.19999999999999</v>
      </c>
    </row>
    <row r="199" spans="1:30" ht="14.4" x14ac:dyDescent="0.3">
      <c r="A199" s="2" t="s">
        <v>34</v>
      </c>
      <c r="B199" s="2">
        <v>2018</v>
      </c>
      <c r="C199" s="2" t="s">
        <v>39</v>
      </c>
      <c r="D199" s="2">
        <v>136.9</v>
      </c>
      <c r="E199" s="2">
        <v>148.69999999999999</v>
      </c>
      <c r="F199" s="2">
        <v>135.6</v>
      </c>
      <c r="G199" s="2">
        <v>142.30000000000001</v>
      </c>
      <c r="H199" s="2">
        <v>121.3</v>
      </c>
      <c r="I199" s="2">
        <v>153.19999999999999</v>
      </c>
      <c r="J199" s="2">
        <v>143.69999999999999</v>
      </c>
      <c r="K199" s="2">
        <v>121.4</v>
      </c>
      <c r="L199" s="2">
        <v>111.1</v>
      </c>
      <c r="M199" s="2">
        <v>138.4</v>
      </c>
      <c r="N199" s="2">
        <v>130.30000000000001</v>
      </c>
      <c r="O199" s="2">
        <v>151.80000000000001</v>
      </c>
      <c r="P199" s="2">
        <v>139.4</v>
      </c>
      <c r="Q199" s="2">
        <v>158.30000000000001</v>
      </c>
      <c r="R199" s="2">
        <v>146.4</v>
      </c>
      <c r="S199" s="2">
        <v>138.1</v>
      </c>
      <c r="T199" s="2">
        <v>145.19999999999999</v>
      </c>
      <c r="U199" s="2">
        <v>142.5</v>
      </c>
      <c r="V199" s="2">
        <v>138.1</v>
      </c>
      <c r="W199" s="2">
        <v>137.9</v>
      </c>
      <c r="X199" s="2">
        <v>136.19999999999999</v>
      </c>
      <c r="Y199" s="2">
        <v>123.7</v>
      </c>
      <c r="Z199" s="2">
        <v>132.6</v>
      </c>
      <c r="AA199" s="2">
        <v>142.80000000000001</v>
      </c>
      <c r="AB199" s="2">
        <v>130.1</v>
      </c>
      <c r="AC199" s="2">
        <v>132.6</v>
      </c>
      <c r="AD199" s="2">
        <v>138.5</v>
      </c>
    </row>
    <row r="200" spans="1:30" ht="14.4" x14ac:dyDescent="0.3">
      <c r="A200" s="2" t="s">
        <v>30</v>
      </c>
      <c r="B200" s="2">
        <v>2018</v>
      </c>
      <c r="C200" s="2" t="s">
        <v>40</v>
      </c>
      <c r="D200" s="2">
        <v>138.4</v>
      </c>
      <c r="E200" s="2">
        <v>149.30000000000001</v>
      </c>
      <c r="F200" s="2">
        <v>139.30000000000001</v>
      </c>
      <c r="G200" s="2">
        <v>143.4</v>
      </c>
      <c r="H200" s="2">
        <v>124.1</v>
      </c>
      <c r="I200" s="2">
        <v>153.30000000000001</v>
      </c>
      <c r="J200" s="2">
        <v>154.19999999999999</v>
      </c>
      <c r="K200" s="2">
        <v>126.4</v>
      </c>
      <c r="L200" s="2">
        <v>114.3</v>
      </c>
      <c r="M200" s="2">
        <v>138.19999999999999</v>
      </c>
      <c r="N200" s="2">
        <v>132.80000000000001</v>
      </c>
      <c r="O200" s="2">
        <v>154.80000000000001</v>
      </c>
      <c r="P200" s="2">
        <v>142</v>
      </c>
      <c r="Q200" s="2">
        <v>156.1</v>
      </c>
      <c r="R200" s="2">
        <v>151.5</v>
      </c>
      <c r="S200" s="2">
        <v>145.1</v>
      </c>
      <c r="T200" s="2">
        <v>150.6</v>
      </c>
      <c r="U200" s="2" t="s">
        <v>32</v>
      </c>
      <c r="V200" s="2">
        <v>146.80000000000001</v>
      </c>
      <c r="W200" s="2">
        <v>143.1</v>
      </c>
      <c r="X200" s="2">
        <v>139</v>
      </c>
      <c r="Y200" s="2">
        <v>127.5</v>
      </c>
      <c r="Z200" s="2">
        <v>138.4</v>
      </c>
      <c r="AA200" s="2">
        <v>145.80000000000001</v>
      </c>
      <c r="AB200" s="2">
        <v>131.4</v>
      </c>
      <c r="AC200" s="2">
        <v>136</v>
      </c>
      <c r="AD200" s="2">
        <v>141.80000000000001</v>
      </c>
    </row>
    <row r="201" spans="1:30" ht="14.4" x14ac:dyDescent="0.3">
      <c r="A201" s="2" t="s">
        <v>33</v>
      </c>
      <c r="B201" s="2">
        <v>2018</v>
      </c>
      <c r="C201" s="2" t="s">
        <v>40</v>
      </c>
      <c r="D201" s="2">
        <v>135.6</v>
      </c>
      <c r="E201" s="2">
        <v>148.6</v>
      </c>
      <c r="F201" s="2">
        <v>139.1</v>
      </c>
      <c r="G201" s="2">
        <v>141</v>
      </c>
      <c r="H201" s="2">
        <v>116.7</v>
      </c>
      <c r="I201" s="2">
        <v>149.69999999999999</v>
      </c>
      <c r="J201" s="2">
        <v>159.19999999999999</v>
      </c>
      <c r="K201" s="2">
        <v>112.6</v>
      </c>
      <c r="L201" s="2">
        <v>111.8</v>
      </c>
      <c r="M201" s="2">
        <v>140.30000000000001</v>
      </c>
      <c r="N201" s="2">
        <v>126.8</v>
      </c>
      <c r="O201" s="2">
        <v>149.4</v>
      </c>
      <c r="P201" s="2">
        <v>140.30000000000001</v>
      </c>
      <c r="Q201" s="2">
        <v>161.4</v>
      </c>
      <c r="R201" s="2">
        <v>139.6</v>
      </c>
      <c r="S201" s="2">
        <v>128.9</v>
      </c>
      <c r="T201" s="2">
        <v>137.9</v>
      </c>
      <c r="U201" s="2">
        <v>143.6</v>
      </c>
      <c r="V201" s="2">
        <v>128.1</v>
      </c>
      <c r="W201" s="2">
        <v>133.6</v>
      </c>
      <c r="X201" s="2">
        <v>133.6</v>
      </c>
      <c r="Y201" s="2">
        <v>120.1</v>
      </c>
      <c r="Z201" s="2">
        <v>129</v>
      </c>
      <c r="AA201" s="2">
        <v>144</v>
      </c>
      <c r="AB201" s="2">
        <v>128.19999999999999</v>
      </c>
      <c r="AC201" s="2">
        <v>130.19999999999999</v>
      </c>
      <c r="AD201" s="2">
        <v>137.5</v>
      </c>
    </row>
    <row r="202" spans="1:30" ht="14.4" x14ac:dyDescent="0.3">
      <c r="A202" s="2" t="s">
        <v>34</v>
      </c>
      <c r="B202" s="2">
        <v>2018</v>
      </c>
      <c r="C202" s="2" t="s">
        <v>40</v>
      </c>
      <c r="D202" s="2">
        <v>137.5</v>
      </c>
      <c r="E202" s="2">
        <v>149.1</v>
      </c>
      <c r="F202" s="2">
        <v>139.19999999999999</v>
      </c>
      <c r="G202" s="2">
        <v>142.5</v>
      </c>
      <c r="H202" s="2">
        <v>121.4</v>
      </c>
      <c r="I202" s="2">
        <v>151.6</v>
      </c>
      <c r="J202" s="2">
        <v>155.9</v>
      </c>
      <c r="K202" s="2">
        <v>121.7</v>
      </c>
      <c r="L202" s="2">
        <v>113.5</v>
      </c>
      <c r="M202" s="2">
        <v>138.9</v>
      </c>
      <c r="N202" s="2">
        <v>130.30000000000001</v>
      </c>
      <c r="O202" s="2">
        <v>152.30000000000001</v>
      </c>
      <c r="P202" s="2">
        <v>141.4</v>
      </c>
      <c r="Q202" s="2">
        <v>157.5</v>
      </c>
      <c r="R202" s="2">
        <v>146.80000000000001</v>
      </c>
      <c r="S202" s="2">
        <v>138.4</v>
      </c>
      <c r="T202" s="2">
        <v>145.6</v>
      </c>
      <c r="U202" s="2">
        <v>143.6</v>
      </c>
      <c r="V202" s="2">
        <v>139.69999999999999</v>
      </c>
      <c r="W202" s="2">
        <v>138.6</v>
      </c>
      <c r="X202" s="2">
        <v>137</v>
      </c>
      <c r="Y202" s="2">
        <v>123.6</v>
      </c>
      <c r="Z202" s="2">
        <v>133.1</v>
      </c>
      <c r="AA202" s="2">
        <v>144.69999999999999</v>
      </c>
      <c r="AB202" s="2">
        <v>130.1</v>
      </c>
      <c r="AC202" s="2">
        <v>133.19999999999999</v>
      </c>
      <c r="AD202" s="2">
        <v>139.80000000000001</v>
      </c>
    </row>
    <row r="203" spans="1:30" ht="14.4" x14ac:dyDescent="0.3">
      <c r="A203" s="2" t="s">
        <v>30</v>
      </c>
      <c r="B203" s="2">
        <v>2018</v>
      </c>
      <c r="C203" s="2" t="s">
        <v>41</v>
      </c>
      <c r="D203" s="2">
        <v>139.19999999999999</v>
      </c>
      <c r="E203" s="2">
        <v>148.80000000000001</v>
      </c>
      <c r="F203" s="2">
        <v>139.1</v>
      </c>
      <c r="G203" s="2">
        <v>143.5</v>
      </c>
      <c r="H203" s="2">
        <v>125</v>
      </c>
      <c r="I203" s="2">
        <v>154.4</v>
      </c>
      <c r="J203" s="2">
        <v>156.30000000000001</v>
      </c>
      <c r="K203" s="2">
        <v>126.8</v>
      </c>
      <c r="L203" s="2">
        <v>115.4</v>
      </c>
      <c r="M203" s="2">
        <v>138.6</v>
      </c>
      <c r="N203" s="2">
        <v>133.80000000000001</v>
      </c>
      <c r="O203" s="2">
        <v>155.19999999999999</v>
      </c>
      <c r="P203" s="2">
        <v>142.69999999999999</v>
      </c>
      <c r="Q203" s="2">
        <v>156.4</v>
      </c>
      <c r="R203" s="2">
        <v>152.1</v>
      </c>
      <c r="S203" s="2">
        <v>145.80000000000001</v>
      </c>
      <c r="T203" s="2">
        <v>151.30000000000001</v>
      </c>
      <c r="U203" s="2" t="s">
        <v>32</v>
      </c>
      <c r="V203" s="2">
        <v>147.69999999999999</v>
      </c>
      <c r="W203" s="2">
        <v>143.80000000000001</v>
      </c>
      <c r="X203" s="2">
        <v>139.4</v>
      </c>
      <c r="Y203" s="2">
        <v>128.30000000000001</v>
      </c>
      <c r="Z203" s="2">
        <v>138.6</v>
      </c>
      <c r="AA203" s="2">
        <v>146.9</v>
      </c>
      <c r="AB203" s="2">
        <v>131.30000000000001</v>
      </c>
      <c r="AC203" s="2">
        <v>136.6</v>
      </c>
      <c r="AD203" s="2">
        <v>142.5</v>
      </c>
    </row>
    <row r="204" spans="1:30" ht="14.4" x14ac:dyDescent="0.3">
      <c r="A204" s="2" t="s">
        <v>33</v>
      </c>
      <c r="B204" s="2">
        <v>2018</v>
      </c>
      <c r="C204" s="2" t="s">
        <v>41</v>
      </c>
      <c r="D204" s="2">
        <v>136.5</v>
      </c>
      <c r="E204" s="2">
        <v>146.4</v>
      </c>
      <c r="F204" s="2">
        <v>136.6</v>
      </c>
      <c r="G204" s="2">
        <v>141.19999999999999</v>
      </c>
      <c r="H204" s="2">
        <v>117.4</v>
      </c>
      <c r="I204" s="2">
        <v>146.30000000000001</v>
      </c>
      <c r="J204" s="2">
        <v>157.30000000000001</v>
      </c>
      <c r="K204" s="2">
        <v>113.6</v>
      </c>
      <c r="L204" s="2">
        <v>113.3</v>
      </c>
      <c r="M204" s="2">
        <v>141.1</v>
      </c>
      <c r="N204" s="2">
        <v>127.4</v>
      </c>
      <c r="O204" s="2">
        <v>150.4</v>
      </c>
      <c r="P204" s="2">
        <v>140.1</v>
      </c>
      <c r="Q204" s="2">
        <v>162.1</v>
      </c>
      <c r="R204" s="2">
        <v>140</v>
      </c>
      <c r="S204" s="2">
        <v>129</v>
      </c>
      <c r="T204" s="2">
        <v>138.30000000000001</v>
      </c>
      <c r="U204" s="2">
        <v>144.6</v>
      </c>
      <c r="V204" s="2">
        <v>129.80000000000001</v>
      </c>
      <c r="W204" s="2">
        <v>134.4</v>
      </c>
      <c r="X204" s="2">
        <v>134.9</v>
      </c>
      <c r="Y204" s="2">
        <v>120.7</v>
      </c>
      <c r="Z204" s="2">
        <v>129.80000000000001</v>
      </c>
      <c r="AA204" s="2">
        <v>145.30000000000001</v>
      </c>
      <c r="AB204" s="2">
        <v>128.30000000000001</v>
      </c>
      <c r="AC204" s="2">
        <v>131</v>
      </c>
      <c r="AD204" s="2">
        <v>138</v>
      </c>
    </row>
    <row r="205" spans="1:30" ht="14.4" x14ac:dyDescent="0.3">
      <c r="A205" s="2" t="s">
        <v>34</v>
      </c>
      <c r="B205" s="2">
        <v>2018</v>
      </c>
      <c r="C205" s="2" t="s">
        <v>41</v>
      </c>
      <c r="D205" s="2">
        <v>138.30000000000001</v>
      </c>
      <c r="E205" s="2">
        <v>148</v>
      </c>
      <c r="F205" s="2">
        <v>138.1</v>
      </c>
      <c r="G205" s="2">
        <v>142.6</v>
      </c>
      <c r="H205" s="2">
        <v>122.2</v>
      </c>
      <c r="I205" s="2">
        <v>150.6</v>
      </c>
      <c r="J205" s="2">
        <v>156.6</v>
      </c>
      <c r="K205" s="2">
        <v>122.4</v>
      </c>
      <c r="L205" s="2">
        <v>114.7</v>
      </c>
      <c r="M205" s="2">
        <v>139.4</v>
      </c>
      <c r="N205" s="2">
        <v>131.1</v>
      </c>
      <c r="O205" s="2">
        <v>153</v>
      </c>
      <c r="P205" s="2">
        <v>141.69999999999999</v>
      </c>
      <c r="Q205" s="2">
        <v>157.9</v>
      </c>
      <c r="R205" s="2">
        <v>147.30000000000001</v>
      </c>
      <c r="S205" s="2">
        <v>138.80000000000001</v>
      </c>
      <c r="T205" s="2">
        <v>146.1</v>
      </c>
      <c r="U205" s="2">
        <v>144.6</v>
      </c>
      <c r="V205" s="2">
        <v>140.9</v>
      </c>
      <c r="W205" s="2">
        <v>139.4</v>
      </c>
      <c r="X205" s="2">
        <v>137.69999999999999</v>
      </c>
      <c r="Y205" s="2">
        <v>124.3</v>
      </c>
      <c r="Z205" s="2">
        <v>133.6</v>
      </c>
      <c r="AA205" s="2">
        <v>146</v>
      </c>
      <c r="AB205" s="2">
        <v>130.1</v>
      </c>
      <c r="AC205" s="2">
        <v>133.9</v>
      </c>
      <c r="AD205" s="2">
        <v>140.4</v>
      </c>
    </row>
    <row r="206" spans="1:30" ht="14.4" x14ac:dyDescent="0.3">
      <c r="A206" s="2" t="s">
        <v>30</v>
      </c>
      <c r="B206" s="2">
        <v>2018</v>
      </c>
      <c r="C206" s="2" t="s">
        <v>42</v>
      </c>
      <c r="D206" s="2">
        <v>139.4</v>
      </c>
      <c r="E206" s="2">
        <v>147.19999999999999</v>
      </c>
      <c r="F206" s="2">
        <v>136.6</v>
      </c>
      <c r="G206" s="2">
        <v>143.69999999999999</v>
      </c>
      <c r="H206" s="2">
        <v>124.6</v>
      </c>
      <c r="I206" s="2">
        <v>150.1</v>
      </c>
      <c r="J206" s="2">
        <v>149.4</v>
      </c>
      <c r="K206" s="2">
        <v>125.4</v>
      </c>
      <c r="L206" s="2">
        <v>114.4</v>
      </c>
      <c r="M206" s="2">
        <v>138.69999999999999</v>
      </c>
      <c r="N206" s="2">
        <v>133.1</v>
      </c>
      <c r="O206" s="2">
        <v>155.9</v>
      </c>
      <c r="P206" s="2">
        <v>141.30000000000001</v>
      </c>
      <c r="Q206" s="2">
        <v>157.69999999999999</v>
      </c>
      <c r="R206" s="2">
        <v>152.1</v>
      </c>
      <c r="S206" s="2">
        <v>146.1</v>
      </c>
      <c r="T206" s="2">
        <v>151.30000000000001</v>
      </c>
      <c r="U206" s="2" t="s">
        <v>32</v>
      </c>
      <c r="V206" s="2">
        <v>149</v>
      </c>
      <c r="W206" s="2">
        <v>144</v>
      </c>
      <c r="X206" s="2">
        <v>140</v>
      </c>
      <c r="Y206" s="2">
        <v>129.9</v>
      </c>
      <c r="Z206" s="2">
        <v>140</v>
      </c>
      <c r="AA206" s="2">
        <v>147.6</v>
      </c>
      <c r="AB206" s="2">
        <v>132</v>
      </c>
      <c r="AC206" s="2">
        <v>137.4</v>
      </c>
      <c r="AD206" s="2">
        <v>142.1</v>
      </c>
    </row>
    <row r="207" spans="1:30" ht="14.4" x14ac:dyDescent="0.3">
      <c r="A207" s="2" t="s">
        <v>33</v>
      </c>
      <c r="B207" s="2">
        <v>2018</v>
      </c>
      <c r="C207" s="2" t="s">
        <v>42</v>
      </c>
      <c r="D207" s="2">
        <v>137</v>
      </c>
      <c r="E207" s="2">
        <v>143.1</v>
      </c>
      <c r="F207" s="2">
        <v>132.80000000000001</v>
      </c>
      <c r="G207" s="2">
        <v>141.5</v>
      </c>
      <c r="H207" s="2">
        <v>117.8</v>
      </c>
      <c r="I207" s="2">
        <v>140</v>
      </c>
      <c r="J207" s="2">
        <v>151.30000000000001</v>
      </c>
      <c r="K207" s="2">
        <v>113.5</v>
      </c>
      <c r="L207" s="2">
        <v>112.3</v>
      </c>
      <c r="M207" s="2">
        <v>141.19999999999999</v>
      </c>
      <c r="N207" s="2">
        <v>127.7</v>
      </c>
      <c r="O207" s="2">
        <v>151.30000000000001</v>
      </c>
      <c r="P207" s="2">
        <v>138.9</v>
      </c>
      <c r="Q207" s="2">
        <v>163.30000000000001</v>
      </c>
      <c r="R207" s="2">
        <v>140.80000000000001</v>
      </c>
      <c r="S207" s="2">
        <v>129.30000000000001</v>
      </c>
      <c r="T207" s="2">
        <v>139.1</v>
      </c>
      <c r="U207" s="2">
        <v>145.30000000000001</v>
      </c>
      <c r="V207" s="2">
        <v>131.19999999999999</v>
      </c>
      <c r="W207" s="2">
        <v>134.9</v>
      </c>
      <c r="X207" s="2">
        <v>135.69999999999999</v>
      </c>
      <c r="Y207" s="2">
        <v>122.5</v>
      </c>
      <c r="Z207" s="2">
        <v>130.19999999999999</v>
      </c>
      <c r="AA207" s="2">
        <v>145.19999999999999</v>
      </c>
      <c r="AB207" s="2">
        <v>129.30000000000001</v>
      </c>
      <c r="AC207" s="2">
        <v>131.9</v>
      </c>
      <c r="AD207" s="2">
        <v>138.1</v>
      </c>
    </row>
    <row r="208" spans="1:30" ht="14.4" x14ac:dyDescent="0.3">
      <c r="A208" s="2" t="s">
        <v>34</v>
      </c>
      <c r="B208" s="2">
        <v>2018</v>
      </c>
      <c r="C208" s="2" t="s">
        <v>42</v>
      </c>
      <c r="D208" s="2">
        <v>138.6</v>
      </c>
      <c r="E208" s="2">
        <v>145.80000000000001</v>
      </c>
      <c r="F208" s="2">
        <v>135.1</v>
      </c>
      <c r="G208" s="2">
        <v>142.9</v>
      </c>
      <c r="H208" s="2">
        <v>122.1</v>
      </c>
      <c r="I208" s="2">
        <v>145.4</v>
      </c>
      <c r="J208" s="2">
        <v>150</v>
      </c>
      <c r="K208" s="2">
        <v>121.4</v>
      </c>
      <c r="L208" s="2">
        <v>113.7</v>
      </c>
      <c r="M208" s="2">
        <v>139.5</v>
      </c>
      <c r="N208" s="2">
        <v>130.80000000000001</v>
      </c>
      <c r="O208" s="2">
        <v>153.80000000000001</v>
      </c>
      <c r="P208" s="2">
        <v>140.4</v>
      </c>
      <c r="Q208" s="2">
        <v>159.19999999999999</v>
      </c>
      <c r="R208" s="2">
        <v>147.69999999999999</v>
      </c>
      <c r="S208" s="2">
        <v>139.1</v>
      </c>
      <c r="T208" s="2">
        <v>146.5</v>
      </c>
      <c r="U208" s="2">
        <v>145.30000000000001</v>
      </c>
      <c r="V208" s="2">
        <v>142.30000000000001</v>
      </c>
      <c r="W208" s="2">
        <v>139.69999999999999</v>
      </c>
      <c r="X208" s="2">
        <v>138.4</v>
      </c>
      <c r="Y208" s="2">
        <v>126</v>
      </c>
      <c r="Z208" s="2">
        <v>134.5</v>
      </c>
      <c r="AA208" s="2">
        <v>146.19999999999999</v>
      </c>
      <c r="AB208" s="2">
        <v>130.9</v>
      </c>
      <c r="AC208" s="2">
        <v>134.69999999999999</v>
      </c>
      <c r="AD208" s="2">
        <v>140.19999999999999</v>
      </c>
    </row>
    <row r="209" spans="1:30" ht="14.4" x14ac:dyDescent="0.3">
      <c r="A209" s="2" t="s">
        <v>30</v>
      </c>
      <c r="B209" s="2">
        <v>2018</v>
      </c>
      <c r="C209" s="2" t="s">
        <v>43</v>
      </c>
      <c r="D209" s="2">
        <v>139.30000000000001</v>
      </c>
      <c r="E209" s="2">
        <v>147.6</v>
      </c>
      <c r="F209" s="2">
        <v>134.6</v>
      </c>
      <c r="G209" s="2">
        <v>141.9</v>
      </c>
      <c r="H209" s="2">
        <v>123.5</v>
      </c>
      <c r="I209" s="2">
        <v>144.5</v>
      </c>
      <c r="J209" s="2">
        <v>147.6</v>
      </c>
      <c r="K209" s="2">
        <v>121.4</v>
      </c>
      <c r="L209" s="2">
        <v>112.3</v>
      </c>
      <c r="M209" s="2">
        <v>139.5</v>
      </c>
      <c r="N209" s="2">
        <v>134.6</v>
      </c>
      <c r="O209" s="2">
        <v>155.19999999999999</v>
      </c>
      <c r="P209" s="2">
        <v>140.19999999999999</v>
      </c>
      <c r="Q209" s="2">
        <v>159.6</v>
      </c>
      <c r="R209" s="2">
        <v>150.69999999999999</v>
      </c>
      <c r="S209" s="2">
        <v>144.5</v>
      </c>
      <c r="T209" s="2">
        <v>149.80000000000001</v>
      </c>
      <c r="U209" s="2" t="s">
        <v>32</v>
      </c>
      <c r="V209" s="2">
        <v>149.69999999999999</v>
      </c>
      <c r="W209" s="2">
        <v>147.5</v>
      </c>
      <c r="X209" s="2">
        <v>144.80000000000001</v>
      </c>
      <c r="Y209" s="2">
        <v>130.80000000000001</v>
      </c>
      <c r="Z209" s="2">
        <v>140.1</v>
      </c>
      <c r="AA209" s="2">
        <v>148</v>
      </c>
      <c r="AB209" s="2">
        <v>134.4</v>
      </c>
      <c r="AC209" s="2">
        <v>139.80000000000001</v>
      </c>
      <c r="AD209" s="2">
        <v>142.19999999999999</v>
      </c>
    </row>
    <row r="210" spans="1:30" ht="14.4" x14ac:dyDescent="0.3">
      <c r="A210" s="2" t="s">
        <v>33</v>
      </c>
      <c r="B210" s="2">
        <v>2018</v>
      </c>
      <c r="C210" s="2" t="s">
        <v>43</v>
      </c>
      <c r="D210" s="2">
        <v>137.6</v>
      </c>
      <c r="E210" s="2">
        <v>144.9</v>
      </c>
      <c r="F210" s="2">
        <v>133.5</v>
      </c>
      <c r="G210" s="2">
        <v>141.5</v>
      </c>
      <c r="H210" s="2">
        <v>118</v>
      </c>
      <c r="I210" s="2">
        <v>139.5</v>
      </c>
      <c r="J210" s="2">
        <v>153</v>
      </c>
      <c r="K210" s="2">
        <v>113.2</v>
      </c>
      <c r="L210" s="2">
        <v>112.8</v>
      </c>
      <c r="M210" s="2">
        <v>141.1</v>
      </c>
      <c r="N210" s="2">
        <v>127.6</v>
      </c>
      <c r="O210" s="2">
        <v>152</v>
      </c>
      <c r="P210" s="2">
        <v>139.4</v>
      </c>
      <c r="Q210" s="2">
        <v>164</v>
      </c>
      <c r="R210" s="2">
        <v>141.5</v>
      </c>
      <c r="S210" s="2">
        <v>129.80000000000001</v>
      </c>
      <c r="T210" s="2">
        <v>139.69999999999999</v>
      </c>
      <c r="U210" s="2">
        <v>146.30000000000001</v>
      </c>
      <c r="V210" s="2">
        <v>133.4</v>
      </c>
      <c r="W210" s="2">
        <v>135.1</v>
      </c>
      <c r="X210" s="2">
        <v>136.19999999999999</v>
      </c>
      <c r="Y210" s="2">
        <v>123.3</v>
      </c>
      <c r="Z210" s="2">
        <v>130.69999999999999</v>
      </c>
      <c r="AA210" s="2">
        <v>145.5</v>
      </c>
      <c r="AB210" s="2">
        <v>130.4</v>
      </c>
      <c r="AC210" s="2">
        <v>132.5</v>
      </c>
      <c r="AD210" s="2">
        <v>138.9</v>
      </c>
    </row>
    <row r="211" spans="1:30" ht="14.4" x14ac:dyDescent="0.3">
      <c r="A211" s="2" t="s">
        <v>34</v>
      </c>
      <c r="B211" s="2">
        <v>2018</v>
      </c>
      <c r="C211" s="2" t="s">
        <v>43</v>
      </c>
      <c r="D211" s="2">
        <v>137.4</v>
      </c>
      <c r="E211" s="2">
        <v>149.5</v>
      </c>
      <c r="F211" s="2">
        <v>137.30000000000001</v>
      </c>
      <c r="G211" s="2">
        <v>141.9</v>
      </c>
      <c r="H211" s="2">
        <v>121.1</v>
      </c>
      <c r="I211" s="2">
        <v>142.5</v>
      </c>
      <c r="J211" s="2">
        <v>146.69999999999999</v>
      </c>
      <c r="K211" s="2">
        <v>119.1</v>
      </c>
      <c r="L211" s="2">
        <v>111.9</v>
      </c>
      <c r="M211" s="2">
        <v>141</v>
      </c>
      <c r="N211" s="2">
        <v>133.6</v>
      </c>
      <c r="O211" s="2">
        <v>154.5</v>
      </c>
      <c r="P211" s="2">
        <v>139.69999999999999</v>
      </c>
      <c r="Q211" s="2">
        <v>162.6</v>
      </c>
      <c r="R211" s="2">
        <v>148</v>
      </c>
      <c r="S211" s="2">
        <v>139.19999999999999</v>
      </c>
      <c r="T211" s="2">
        <v>146.80000000000001</v>
      </c>
      <c r="U211" s="2">
        <v>146.9</v>
      </c>
      <c r="V211" s="2">
        <v>145.30000000000001</v>
      </c>
      <c r="W211" s="2">
        <v>142.19999999999999</v>
      </c>
      <c r="X211" s="2">
        <v>142.1</v>
      </c>
      <c r="Y211" s="2">
        <v>125.5</v>
      </c>
      <c r="Z211" s="2">
        <v>136.5</v>
      </c>
      <c r="AA211" s="2">
        <v>147.80000000000001</v>
      </c>
      <c r="AB211" s="2">
        <v>132</v>
      </c>
      <c r="AC211" s="2">
        <v>136.30000000000001</v>
      </c>
      <c r="AD211" s="2">
        <v>140.80000000000001</v>
      </c>
    </row>
    <row r="212" spans="1:30" ht="14.4" x14ac:dyDescent="0.3">
      <c r="A212" s="2" t="s">
        <v>30</v>
      </c>
      <c r="B212" s="2">
        <v>2018</v>
      </c>
      <c r="C212" s="2" t="s">
        <v>44</v>
      </c>
      <c r="D212" s="2">
        <v>137.1</v>
      </c>
      <c r="E212" s="2">
        <v>150.80000000000001</v>
      </c>
      <c r="F212" s="2">
        <v>136.69999999999999</v>
      </c>
      <c r="G212" s="2">
        <v>141.9</v>
      </c>
      <c r="H212" s="2">
        <v>122.8</v>
      </c>
      <c r="I212" s="2">
        <v>143.9</v>
      </c>
      <c r="J212" s="2">
        <v>147.5</v>
      </c>
      <c r="K212" s="2">
        <v>121</v>
      </c>
      <c r="L212" s="2">
        <v>111.6</v>
      </c>
      <c r="M212" s="2">
        <v>140.6</v>
      </c>
      <c r="N212" s="2">
        <v>137.5</v>
      </c>
      <c r="O212" s="2">
        <v>156.1</v>
      </c>
      <c r="P212" s="2">
        <v>140</v>
      </c>
      <c r="Q212" s="2">
        <v>161.9</v>
      </c>
      <c r="R212" s="2">
        <v>151.69999999999999</v>
      </c>
      <c r="S212" s="2">
        <v>145.5</v>
      </c>
      <c r="T212" s="2">
        <v>150.80000000000001</v>
      </c>
      <c r="U212" s="2" t="s">
        <v>32</v>
      </c>
      <c r="V212" s="2">
        <v>150.30000000000001</v>
      </c>
      <c r="W212" s="2">
        <v>148</v>
      </c>
      <c r="X212" s="2">
        <v>145.4</v>
      </c>
      <c r="Y212" s="2">
        <v>130.30000000000001</v>
      </c>
      <c r="Z212" s="2">
        <v>143.1</v>
      </c>
      <c r="AA212" s="2">
        <v>150.19999999999999</v>
      </c>
      <c r="AB212" s="2">
        <v>133.1</v>
      </c>
      <c r="AC212" s="2">
        <v>140.1</v>
      </c>
      <c r="AD212" s="2">
        <v>142.4</v>
      </c>
    </row>
    <row r="213" spans="1:30" ht="14.4" x14ac:dyDescent="0.3">
      <c r="A213" s="2" t="s">
        <v>33</v>
      </c>
      <c r="B213" s="2">
        <v>2018</v>
      </c>
      <c r="C213" s="2" t="s">
        <v>44</v>
      </c>
      <c r="D213" s="2">
        <v>138.1</v>
      </c>
      <c r="E213" s="2">
        <v>146.30000000000001</v>
      </c>
      <c r="F213" s="2">
        <v>137.80000000000001</v>
      </c>
      <c r="G213" s="2">
        <v>141.6</v>
      </c>
      <c r="H213" s="2">
        <v>118.1</v>
      </c>
      <c r="I213" s="2">
        <v>141.5</v>
      </c>
      <c r="J213" s="2">
        <v>145.19999999999999</v>
      </c>
      <c r="K213" s="2">
        <v>115.3</v>
      </c>
      <c r="L213" s="2">
        <v>112.5</v>
      </c>
      <c r="M213" s="2">
        <v>141.4</v>
      </c>
      <c r="N213" s="2">
        <v>128</v>
      </c>
      <c r="O213" s="2">
        <v>152.6</v>
      </c>
      <c r="P213" s="2">
        <v>139.1</v>
      </c>
      <c r="Q213" s="2">
        <v>164.4</v>
      </c>
      <c r="R213" s="2">
        <v>142.4</v>
      </c>
      <c r="S213" s="2">
        <v>130.19999999999999</v>
      </c>
      <c r="T213" s="2">
        <v>140.5</v>
      </c>
      <c r="U213" s="2">
        <v>146.9</v>
      </c>
      <c r="V213" s="2">
        <v>136.69999999999999</v>
      </c>
      <c r="W213" s="2">
        <v>135.80000000000001</v>
      </c>
      <c r="X213" s="2">
        <v>136.80000000000001</v>
      </c>
      <c r="Y213" s="2">
        <v>121.2</v>
      </c>
      <c r="Z213" s="2">
        <v>131.30000000000001</v>
      </c>
      <c r="AA213" s="2">
        <v>146.1</v>
      </c>
      <c r="AB213" s="2">
        <v>130.5</v>
      </c>
      <c r="AC213" s="2">
        <v>132.19999999999999</v>
      </c>
      <c r="AD213" s="2">
        <v>139</v>
      </c>
    </row>
    <row r="214" spans="1:30" ht="14.4" x14ac:dyDescent="0.3">
      <c r="A214" s="2" t="s">
        <v>34</v>
      </c>
      <c r="B214" s="2">
        <v>2018</v>
      </c>
      <c r="C214" s="2" t="s">
        <v>44</v>
      </c>
      <c r="D214" s="2">
        <v>137.4</v>
      </c>
      <c r="E214" s="2">
        <v>149.19999999999999</v>
      </c>
      <c r="F214" s="2">
        <v>137.1</v>
      </c>
      <c r="G214" s="2">
        <v>141.80000000000001</v>
      </c>
      <c r="H214" s="2">
        <v>121.1</v>
      </c>
      <c r="I214" s="2">
        <v>142.80000000000001</v>
      </c>
      <c r="J214" s="2">
        <v>146.69999999999999</v>
      </c>
      <c r="K214" s="2">
        <v>119.1</v>
      </c>
      <c r="L214" s="2">
        <v>111.9</v>
      </c>
      <c r="M214" s="2">
        <v>140.9</v>
      </c>
      <c r="N214" s="2">
        <v>133.5</v>
      </c>
      <c r="O214" s="2">
        <v>154.5</v>
      </c>
      <c r="P214" s="2">
        <v>139.69999999999999</v>
      </c>
      <c r="Q214" s="2">
        <v>162.6</v>
      </c>
      <c r="R214" s="2">
        <v>148</v>
      </c>
      <c r="S214" s="2">
        <v>139.1</v>
      </c>
      <c r="T214" s="2">
        <v>146.69999999999999</v>
      </c>
      <c r="U214" s="2">
        <v>146.9</v>
      </c>
      <c r="V214" s="2">
        <v>145.1</v>
      </c>
      <c r="W214" s="2">
        <v>142.19999999999999</v>
      </c>
      <c r="X214" s="2">
        <v>142.1</v>
      </c>
      <c r="Y214" s="2">
        <v>125.5</v>
      </c>
      <c r="Z214" s="2">
        <v>136.5</v>
      </c>
      <c r="AA214" s="2">
        <v>147.80000000000001</v>
      </c>
      <c r="AB214" s="2">
        <v>132</v>
      </c>
      <c r="AC214" s="2">
        <v>136.30000000000001</v>
      </c>
      <c r="AD214" s="2">
        <v>140.80000000000001</v>
      </c>
    </row>
    <row r="215" spans="1:30" ht="14.4" x14ac:dyDescent="0.3">
      <c r="A215" s="2" t="s">
        <v>30</v>
      </c>
      <c r="B215" s="2">
        <v>2018</v>
      </c>
      <c r="C215" s="2" t="s">
        <v>45</v>
      </c>
      <c r="D215" s="2">
        <v>137.1</v>
      </c>
      <c r="E215" s="2">
        <v>151.9</v>
      </c>
      <c r="F215" s="2">
        <v>137.4</v>
      </c>
      <c r="G215" s="2">
        <v>142.4</v>
      </c>
      <c r="H215" s="2">
        <v>124.2</v>
      </c>
      <c r="I215" s="2">
        <v>140.19999999999999</v>
      </c>
      <c r="J215" s="2">
        <v>136.6</v>
      </c>
      <c r="K215" s="2">
        <v>120.9</v>
      </c>
      <c r="L215" s="2">
        <v>109.9</v>
      </c>
      <c r="M215" s="2">
        <v>140.19999999999999</v>
      </c>
      <c r="N215" s="2">
        <v>137.80000000000001</v>
      </c>
      <c r="O215" s="2">
        <v>156</v>
      </c>
      <c r="P215" s="2">
        <v>138.5</v>
      </c>
      <c r="Q215" s="2">
        <v>162.4</v>
      </c>
      <c r="R215" s="2">
        <v>151.6</v>
      </c>
      <c r="S215" s="2">
        <v>145.9</v>
      </c>
      <c r="T215" s="2">
        <v>150.80000000000001</v>
      </c>
      <c r="U215" s="2" t="s">
        <v>32</v>
      </c>
      <c r="V215" s="2">
        <v>149</v>
      </c>
      <c r="W215" s="2">
        <v>149.5</v>
      </c>
      <c r="X215" s="2">
        <v>149.6</v>
      </c>
      <c r="Y215" s="2">
        <v>128.9</v>
      </c>
      <c r="Z215" s="2">
        <v>143.30000000000001</v>
      </c>
      <c r="AA215" s="2">
        <v>155.1</v>
      </c>
      <c r="AB215" s="2">
        <v>133.19999999999999</v>
      </c>
      <c r="AC215" s="2">
        <v>141.6</v>
      </c>
      <c r="AD215" s="2">
        <v>141.9</v>
      </c>
    </row>
    <row r="216" spans="1:30" ht="14.4" x14ac:dyDescent="0.3">
      <c r="A216" s="2" t="s">
        <v>33</v>
      </c>
      <c r="B216" s="2">
        <v>2018</v>
      </c>
      <c r="C216" s="2" t="s">
        <v>45</v>
      </c>
      <c r="D216" s="2">
        <v>138.5</v>
      </c>
      <c r="E216" s="2">
        <v>147.80000000000001</v>
      </c>
      <c r="F216" s="2">
        <v>141.1</v>
      </c>
      <c r="G216" s="2">
        <v>141.6</v>
      </c>
      <c r="H216" s="2">
        <v>118.1</v>
      </c>
      <c r="I216" s="2">
        <v>138.5</v>
      </c>
      <c r="J216" s="2">
        <v>132.4</v>
      </c>
      <c r="K216" s="2">
        <v>117.5</v>
      </c>
      <c r="L216" s="2">
        <v>111</v>
      </c>
      <c r="M216" s="2">
        <v>141.5</v>
      </c>
      <c r="N216" s="2">
        <v>128.1</v>
      </c>
      <c r="O216" s="2">
        <v>152.9</v>
      </c>
      <c r="P216" s="2">
        <v>137.6</v>
      </c>
      <c r="Q216" s="2">
        <v>164.6</v>
      </c>
      <c r="R216" s="2">
        <v>142.69999999999999</v>
      </c>
      <c r="S216" s="2">
        <v>130.30000000000001</v>
      </c>
      <c r="T216" s="2">
        <v>140.80000000000001</v>
      </c>
      <c r="U216" s="2">
        <v>146.5</v>
      </c>
      <c r="V216" s="2">
        <v>132.4</v>
      </c>
      <c r="W216" s="2">
        <v>136.19999999999999</v>
      </c>
      <c r="X216" s="2">
        <v>137.30000000000001</v>
      </c>
      <c r="Y216" s="2">
        <v>118.8</v>
      </c>
      <c r="Z216" s="2">
        <v>131.69999999999999</v>
      </c>
      <c r="AA216" s="2">
        <v>146.5</v>
      </c>
      <c r="AB216" s="2">
        <v>130.80000000000001</v>
      </c>
      <c r="AC216" s="2">
        <v>131.69999999999999</v>
      </c>
      <c r="AD216" s="2">
        <v>138</v>
      </c>
    </row>
    <row r="217" spans="1:30" ht="14.4" x14ac:dyDescent="0.3">
      <c r="A217" s="2" t="s">
        <v>34</v>
      </c>
      <c r="B217" s="2">
        <v>2018</v>
      </c>
      <c r="C217" s="2" t="s">
        <v>45</v>
      </c>
      <c r="D217" s="2">
        <v>137.5</v>
      </c>
      <c r="E217" s="2">
        <v>150.5</v>
      </c>
      <c r="F217" s="2">
        <v>138.80000000000001</v>
      </c>
      <c r="G217" s="2">
        <v>142.1</v>
      </c>
      <c r="H217" s="2">
        <v>122</v>
      </c>
      <c r="I217" s="2">
        <v>139.4</v>
      </c>
      <c r="J217" s="2">
        <v>135.19999999999999</v>
      </c>
      <c r="K217" s="2">
        <v>119.8</v>
      </c>
      <c r="L217" s="2">
        <v>110.3</v>
      </c>
      <c r="M217" s="2">
        <v>140.6</v>
      </c>
      <c r="N217" s="2">
        <v>133.80000000000001</v>
      </c>
      <c r="O217" s="2">
        <v>154.6</v>
      </c>
      <c r="P217" s="2">
        <v>138.19999999999999</v>
      </c>
      <c r="Q217" s="2">
        <v>163</v>
      </c>
      <c r="R217" s="2">
        <v>148.1</v>
      </c>
      <c r="S217" s="2">
        <v>139.4</v>
      </c>
      <c r="T217" s="2">
        <v>146.80000000000001</v>
      </c>
      <c r="U217" s="2">
        <v>146.5</v>
      </c>
      <c r="V217" s="2">
        <v>142.69999999999999</v>
      </c>
      <c r="W217" s="2">
        <v>143.19999999999999</v>
      </c>
      <c r="X217" s="2">
        <v>144.9</v>
      </c>
      <c r="Y217" s="2">
        <v>123.6</v>
      </c>
      <c r="Z217" s="2">
        <v>136.80000000000001</v>
      </c>
      <c r="AA217" s="2">
        <v>150.1</v>
      </c>
      <c r="AB217" s="2">
        <v>132.19999999999999</v>
      </c>
      <c r="AC217" s="2">
        <v>136.80000000000001</v>
      </c>
      <c r="AD217" s="2">
        <v>140.1</v>
      </c>
    </row>
    <row r="218" spans="1:30" ht="14.4" x14ac:dyDescent="0.3">
      <c r="A218" s="2" t="s">
        <v>30</v>
      </c>
      <c r="B218" s="2">
        <v>2019</v>
      </c>
      <c r="C218" s="2" t="s">
        <v>31</v>
      </c>
      <c r="D218" s="2">
        <v>136.6</v>
      </c>
      <c r="E218" s="2">
        <v>152.5</v>
      </c>
      <c r="F218" s="2">
        <v>138.19999999999999</v>
      </c>
      <c r="G218" s="2">
        <v>142.4</v>
      </c>
      <c r="H218" s="2">
        <v>123.9</v>
      </c>
      <c r="I218" s="2">
        <v>135.5</v>
      </c>
      <c r="J218" s="2">
        <v>131.69999999999999</v>
      </c>
      <c r="K218" s="2">
        <v>121.3</v>
      </c>
      <c r="L218" s="2">
        <v>108.4</v>
      </c>
      <c r="M218" s="2">
        <v>138.9</v>
      </c>
      <c r="N218" s="2">
        <v>137</v>
      </c>
      <c r="O218" s="2">
        <v>155.80000000000001</v>
      </c>
      <c r="P218" s="2">
        <v>137.4</v>
      </c>
      <c r="Q218" s="2">
        <v>162.69999999999999</v>
      </c>
      <c r="R218" s="2">
        <v>150.6</v>
      </c>
      <c r="S218" s="2">
        <v>145.1</v>
      </c>
      <c r="T218" s="2">
        <v>149.9</v>
      </c>
      <c r="U218" s="2" t="s">
        <v>32</v>
      </c>
      <c r="V218" s="2">
        <v>146.19999999999999</v>
      </c>
      <c r="W218" s="2">
        <v>150.1</v>
      </c>
      <c r="X218" s="2">
        <v>149.6</v>
      </c>
      <c r="Y218" s="2">
        <v>128.6</v>
      </c>
      <c r="Z218" s="2">
        <v>142.9</v>
      </c>
      <c r="AA218" s="2">
        <v>155.19999999999999</v>
      </c>
      <c r="AB218" s="2">
        <v>133.5</v>
      </c>
      <c r="AC218" s="2">
        <v>141.69999999999999</v>
      </c>
      <c r="AD218" s="2">
        <v>141</v>
      </c>
    </row>
    <row r="219" spans="1:30" ht="14.4" x14ac:dyDescent="0.3">
      <c r="A219" s="2" t="s">
        <v>33</v>
      </c>
      <c r="B219" s="2">
        <v>2019</v>
      </c>
      <c r="C219" s="2" t="s">
        <v>31</v>
      </c>
      <c r="D219" s="2">
        <v>138.30000000000001</v>
      </c>
      <c r="E219" s="2">
        <v>149.4</v>
      </c>
      <c r="F219" s="2">
        <v>143.5</v>
      </c>
      <c r="G219" s="2">
        <v>141.69999999999999</v>
      </c>
      <c r="H219" s="2">
        <v>118.1</v>
      </c>
      <c r="I219" s="2">
        <v>135.19999999999999</v>
      </c>
      <c r="J219" s="2">
        <v>130.5</v>
      </c>
      <c r="K219" s="2">
        <v>118.2</v>
      </c>
      <c r="L219" s="2">
        <v>110.4</v>
      </c>
      <c r="M219" s="2">
        <v>140.4</v>
      </c>
      <c r="N219" s="2">
        <v>128.1</v>
      </c>
      <c r="O219" s="2">
        <v>153.19999999999999</v>
      </c>
      <c r="P219" s="2">
        <v>137.30000000000001</v>
      </c>
      <c r="Q219" s="2">
        <v>164.7</v>
      </c>
      <c r="R219" s="2">
        <v>143</v>
      </c>
      <c r="S219" s="2">
        <v>130.4</v>
      </c>
      <c r="T219" s="2">
        <v>141.1</v>
      </c>
      <c r="U219" s="2">
        <v>147.69999999999999</v>
      </c>
      <c r="V219" s="2">
        <v>128.6</v>
      </c>
      <c r="W219" s="2">
        <v>136.30000000000001</v>
      </c>
      <c r="X219" s="2">
        <v>137.80000000000001</v>
      </c>
      <c r="Y219" s="2">
        <v>118.6</v>
      </c>
      <c r="Z219" s="2">
        <v>131.9</v>
      </c>
      <c r="AA219" s="2">
        <v>146.6</v>
      </c>
      <c r="AB219" s="2">
        <v>131.69999999999999</v>
      </c>
      <c r="AC219" s="2">
        <v>131.80000000000001</v>
      </c>
      <c r="AD219" s="2">
        <v>138</v>
      </c>
    </row>
    <row r="220" spans="1:30" ht="14.4" x14ac:dyDescent="0.3">
      <c r="A220" s="2" t="s">
        <v>34</v>
      </c>
      <c r="B220" s="2">
        <v>2019</v>
      </c>
      <c r="C220" s="2" t="s">
        <v>31</v>
      </c>
      <c r="D220" s="2">
        <v>137.1</v>
      </c>
      <c r="E220" s="2">
        <v>151.4</v>
      </c>
      <c r="F220" s="2">
        <v>140.19999999999999</v>
      </c>
      <c r="G220" s="2">
        <v>142.1</v>
      </c>
      <c r="H220" s="2">
        <v>121.8</v>
      </c>
      <c r="I220" s="2">
        <v>135.4</v>
      </c>
      <c r="J220" s="2">
        <v>131.30000000000001</v>
      </c>
      <c r="K220" s="2">
        <v>120.3</v>
      </c>
      <c r="L220" s="2">
        <v>109.1</v>
      </c>
      <c r="M220" s="2">
        <v>139.4</v>
      </c>
      <c r="N220" s="2">
        <v>133.30000000000001</v>
      </c>
      <c r="O220" s="2">
        <v>154.6</v>
      </c>
      <c r="P220" s="2">
        <v>137.4</v>
      </c>
      <c r="Q220" s="2">
        <v>163.19999999999999</v>
      </c>
      <c r="R220" s="2">
        <v>147.6</v>
      </c>
      <c r="S220" s="2">
        <v>139</v>
      </c>
      <c r="T220" s="2">
        <v>146.4</v>
      </c>
      <c r="U220" s="2">
        <v>147.69999999999999</v>
      </c>
      <c r="V220" s="2">
        <v>139.5</v>
      </c>
      <c r="W220" s="2">
        <v>143.6</v>
      </c>
      <c r="X220" s="2">
        <v>145.1</v>
      </c>
      <c r="Y220" s="2">
        <v>123.3</v>
      </c>
      <c r="Z220" s="2">
        <v>136.69999999999999</v>
      </c>
      <c r="AA220" s="2">
        <v>150.19999999999999</v>
      </c>
      <c r="AB220" s="2">
        <v>132.80000000000001</v>
      </c>
      <c r="AC220" s="2">
        <v>136.9</v>
      </c>
      <c r="AD220" s="2">
        <v>139.6</v>
      </c>
    </row>
    <row r="221" spans="1:30" ht="14.4" x14ac:dyDescent="0.3">
      <c r="A221" s="2" t="s">
        <v>30</v>
      </c>
      <c r="B221" s="2">
        <v>2019</v>
      </c>
      <c r="C221" s="2" t="s">
        <v>35</v>
      </c>
      <c r="D221" s="2">
        <v>136.80000000000001</v>
      </c>
      <c r="E221" s="2">
        <v>153</v>
      </c>
      <c r="F221" s="2">
        <v>139.1</v>
      </c>
      <c r="G221" s="2">
        <v>142.5</v>
      </c>
      <c r="H221" s="2">
        <v>124.1</v>
      </c>
      <c r="I221" s="2">
        <v>135.80000000000001</v>
      </c>
      <c r="J221" s="2">
        <v>128.69999999999999</v>
      </c>
      <c r="K221" s="2">
        <v>121.5</v>
      </c>
      <c r="L221" s="2">
        <v>108.3</v>
      </c>
      <c r="M221" s="2">
        <v>139.19999999999999</v>
      </c>
      <c r="N221" s="2">
        <v>137.4</v>
      </c>
      <c r="O221" s="2">
        <v>156.19999999999999</v>
      </c>
      <c r="P221" s="2">
        <v>137.19999999999999</v>
      </c>
      <c r="Q221" s="2">
        <v>162.80000000000001</v>
      </c>
      <c r="R221" s="2">
        <v>150.5</v>
      </c>
      <c r="S221" s="2">
        <v>146.1</v>
      </c>
      <c r="T221" s="2">
        <v>149.9</v>
      </c>
      <c r="U221" s="2" t="s">
        <v>32</v>
      </c>
      <c r="V221" s="2">
        <v>145.30000000000001</v>
      </c>
      <c r="W221" s="2">
        <v>150.1</v>
      </c>
      <c r="X221" s="2">
        <v>149.9</v>
      </c>
      <c r="Y221" s="2">
        <v>129.19999999999999</v>
      </c>
      <c r="Z221" s="2">
        <v>143.4</v>
      </c>
      <c r="AA221" s="2">
        <v>155.5</v>
      </c>
      <c r="AB221" s="2">
        <v>134.9</v>
      </c>
      <c r="AC221" s="2">
        <v>142.19999999999999</v>
      </c>
      <c r="AD221" s="2">
        <v>141</v>
      </c>
    </row>
    <row r="222" spans="1:30" ht="14.4" x14ac:dyDescent="0.3">
      <c r="A222" s="2" t="s">
        <v>33</v>
      </c>
      <c r="B222" s="2">
        <v>2019</v>
      </c>
      <c r="C222" s="2" t="s">
        <v>35</v>
      </c>
      <c r="D222" s="2">
        <v>139.4</v>
      </c>
      <c r="E222" s="2">
        <v>150.1</v>
      </c>
      <c r="F222" s="2">
        <v>145.30000000000001</v>
      </c>
      <c r="G222" s="2">
        <v>141.69999999999999</v>
      </c>
      <c r="H222" s="2">
        <v>118.4</v>
      </c>
      <c r="I222" s="2">
        <v>137</v>
      </c>
      <c r="J222" s="2">
        <v>131.6</v>
      </c>
      <c r="K222" s="2">
        <v>119.9</v>
      </c>
      <c r="L222" s="2">
        <v>110.4</v>
      </c>
      <c r="M222" s="2">
        <v>140.80000000000001</v>
      </c>
      <c r="N222" s="2">
        <v>128.30000000000001</v>
      </c>
      <c r="O222" s="2">
        <v>153.5</v>
      </c>
      <c r="P222" s="2">
        <v>138</v>
      </c>
      <c r="Q222" s="2">
        <v>164.9</v>
      </c>
      <c r="R222" s="2">
        <v>143.30000000000001</v>
      </c>
      <c r="S222" s="2">
        <v>130.80000000000001</v>
      </c>
      <c r="T222" s="2">
        <v>141.4</v>
      </c>
      <c r="U222" s="2">
        <v>148.5</v>
      </c>
      <c r="V222" s="2">
        <v>127.1</v>
      </c>
      <c r="W222" s="2">
        <v>136.6</v>
      </c>
      <c r="X222" s="2">
        <v>138.5</v>
      </c>
      <c r="Y222" s="2">
        <v>119.2</v>
      </c>
      <c r="Z222" s="2">
        <v>132.19999999999999</v>
      </c>
      <c r="AA222" s="2">
        <v>146.6</v>
      </c>
      <c r="AB222" s="2">
        <v>133</v>
      </c>
      <c r="AC222" s="2">
        <v>132.4</v>
      </c>
      <c r="AD222" s="2">
        <v>138.6</v>
      </c>
    </row>
    <row r="223" spans="1:30" ht="14.4" x14ac:dyDescent="0.3">
      <c r="A223" s="2" t="s">
        <v>34</v>
      </c>
      <c r="B223" s="2">
        <v>2019</v>
      </c>
      <c r="C223" s="2" t="s">
        <v>35</v>
      </c>
      <c r="D223" s="2">
        <v>137.6</v>
      </c>
      <c r="E223" s="2">
        <v>152</v>
      </c>
      <c r="F223" s="2">
        <v>141.5</v>
      </c>
      <c r="G223" s="2">
        <v>142.19999999999999</v>
      </c>
      <c r="H223" s="2">
        <v>122</v>
      </c>
      <c r="I223" s="2">
        <v>136.4</v>
      </c>
      <c r="J223" s="2">
        <v>129.69999999999999</v>
      </c>
      <c r="K223" s="2">
        <v>121</v>
      </c>
      <c r="L223" s="2">
        <v>109</v>
      </c>
      <c r="M223" s="2">
        <v>139.69999999999999</v>
      </c>
      <c r="N223" s="2">
        <v>133.6</v>
      </c>
      <c r="O223" s="2">
        <v>154.9</v>
      </c>
      <c r="P223" s="2">
        <v>137.5</v>
      </c>
      <c r="Q223" s="2">
        <v>163.4</v>
      </c>
      <c r="R223" s="2">
        <v>147.69999999999999</v>
      </c>
      <c r="S223" s="2">
        <v>139.69999999999999</v>
      </c>
      <c r="T223" s="2">
        <v>146.5</v>
      </c>
      <c r="U223" s="2">
        <v>148.5</v>
      </c>
      <c r="V223" s="2">
        <v>138.4</v>
      </c>
      <c r="W223" s="2">
        <v>143.69999999999999</v>
      </c>
      <c r="X223" s="2">
        <v>145.6</v>
      </c>
      <c r="Y223" s="2">
        <v>123.9</v>
      </c>
      <c r="Z223" s="2">
        <v>137.1</v>
      </c>
      <c r="AA223" s="2">
        <v>150.30000000000001</v>
      </c>
      <c r="AB223" s="2">
        <v>134.1</v>
      </c>
      <c r="AC223" s="2">
        <v>137.4</v>
      </c>
      <c r="AD223" s="2">
        <v>139.9</v>
      </c>
    </row>
    <row r="224" spans="1:30" ht="14.4" x14ac:dyDescent="0.3">
      <c r="A224" s="2" t="s">
        <v>30</v>
      </c>
      <c r="B224" s="2">
        <v>2019</v>
      </c>
      <c r="C224" s="2" t="s">
        <v>36</v>
      </c>
      <c r="D224" s="2">
        <v>136.9</v>
      </c>
      <c r="E224" s="2">
        <v>154.1</v>
      </c>
      <c r="F224" s="2">
        <v>138.69999999999999</v>
      </c>
      <c r="G224" s="2">
        <v>142.5</v>
      </c>
      <c r="H224" s="2">
        <v>124.1</v>
      </c>
      <c r="I224" s="2">
        <v>136.1</v>
      </c>
      <c r="J224" s="2">
        <v>128.19999999999999</v>
      </c>
      <c r="K224" s="2">
        <v>122.3</v>
      </c>
      <c r="L224" s="2">
        <v>108.3</v>
      </c>
      <c r="M224" s="2">
        <v>138.9</v>
      </c>
      <c r="N224" s="2">
        <v>137.4</v>
      </c>
      <c r="O224" s="2">
        <v>156.4</v>
      </c>
      <c r="P224" s="2">
        <v>137.30000000000001</v>
      </c>
      <c r="Q224" s="2">
        <v>162.9</v>
      </c>
      <c r="R224" s="2">
        <v>150.80000000000001</v>
      </c>
      <c r="S224" s="2">
        <v>146.1</v>
      </c>
      <c r="T224" s="2">
        <v>150.1</v>
      </c>
      <c r="U224" s="2" t="s">
        <v>32</v>
      </c>
      <c r="V224" s="2">
        <v>146.4</v>
      </c>
      <c r="W224" s="2">
        <v>150</v>
      </c>
      <c r="X224" s="2">
        <v>150.4</v>
      </c>
      <c r="Y224" s="2">
        <v>129.9</v>
      </c>
      <c r="Z224" s="2">
        <v>143.80000000000001</v>
      </c>
      <c r="AA224" s="2">
        <v>155.5</v>
      </c>
      <c r="AB224" s="2">
        <v>134</v>
      </c>
      <c r="AC224" s="2">
        <v>142.4</v>
      </c>
      <c r="AD224" s="2">
        <v>141.19999999999999</v>
      </c>
    </row>
    <row r="225" spans="1:30" ht="14.4" x14ac:dyDescent="0.3">
      <c r="A225" s="2" t="s">
        <v>33</v>
      </c>
      <c r="B225" s="2">
        <v>2019</v>
      </c>
      <c r="C225" s="2" t="s">
        <v>36</v>
      </c>
      <c r="D225" s="2">
        <v>139.69999999999999</v>
      </c>
      <c r="E225" s="2">
        <v>151.1</v>
      </c>
      <c r="F225" s="2">
        <v>142.9</v>
      </c>
      <c r="G225" s="2">
        <v>141.9</v>
      </c>
      <c r="H225" s="2">
        <v>118.4</v>
      </c>
      <c r="I225" s="2">
        <v>139.4</v>
      </c>
      <c r="J225" s="2">
        <v>141.19999999999999</v>
      </c>
      <c r="K225" s="2">
        <v>120.7</v>
      </c>
      <c r="L225" s="2">
        <v>110.4</v>
      </c>
      <c r="M225" s="2">
        <v>140.69999999999999</v>
      </c>
      <c r="N225" s="2">
        <v>128.5</v>
      </c>
      <c r="O225" s="2">
        <v>153.9</v>
      </c>
      <c r="P225" s="2">
        <v>139.6</v>
      </c>
      <c r="Q225" s="2">
        <v>165.3</v>
      </c>
      <c r="R225" s="2">
        <v>143.5</v>
      </c>
      <c r="S225" s="2">
        <v>131.19999999999999</v>
      </c>
      <c r="T225" s="2">
        <v>141.6</v>
      </c>
      <c r="U225" s="2">
        <v>149</v>
      </c>
      <c r="V225" s="2">
        <v>128.80000000000001</v>
      </c>
      <c r="W225" s="2">
        <v>136.80000000000001</v>
      </c>
      <c r="X225" s="2">
        <v>139.19999999999999</v>
      </c>
      <c r="Y225" s="2">
        <v>119.9</v>
      </c>
      <c r="Z225" s="2">
        <v>133</v>
      </c>
      <c r="AA225" s="2">
        <v>146.69999999999999</v>
      </c>
      <c r="AB225" s="2">
        <v>132.5</v>
      </c>
      <c r="AC225" s="2">
        <v>132.80000000000001</v>
      </c>
      <c r="AD225" s="2">
        <v>139.5</v>
      </c>
    </row>
    <row r="226" spans="1:30" ht="14.4" x14ac:dyDescent="0.3">
      <c r="A226" s="2" t="s">
        <v>34</v>
      </c>
      <c r="B226" s="2">
        <v>2019</v>
      </c>
      <c r="C226" s="2" t="s">
        <v>36</v>
      </c>
      <c r="D226" s="2">
        <v>137.80000000000001</v>
      </c>
      <c r="E226" s="2">
        <v>153</v>
      </c>
      <c r="F226" s="2">
        <v>140.30000000000001</v>
      </c>
      <c r="G226" s="2">
        <v>142.30000000000001</v>
      </c>
      <c r="H226" s="2">
        <v>122</v>
      </c>
      <c r="I226" s="2">
        <v>137.6</v>
      </c>
      <c r="J226" s="2">
        <v>132.6</v>
      </c>
      <c r="K226" s="2">
        <v>121.8</v>
      </c>
      <c r="L226" s="2">
        <v>109</v>
      </c>
      <c r="M226" s="2">
        <v>139.5</v>
      </c>
      <c r="N226" s="2">
        <v>133.69999999999999</v>
      </c>
      <c r="O226" s="2">
        <v>155.19999999999999</v>
      </c>
      <c r="P226" s="2">
        <v>138.1</v>
      </c>
      <c r="Q226" s="2">
        <v>163.5</v>
      </c>
      <c r="R226" s="2">
        <v>147.9</v>
      </c>
      <c r="S226" s="2">
        <v>139.9</v>
      </c>
      <c r="T226" s="2">
        <v>146.69999999999999</v>
      </c>
      <c r="U226" s="2">
        <v>149</v>
      </c>
      <c r="V226" s="2">
        <v>139.69999999999999</v>
      </c>
      <c r="W226" s="2">
        <v>143.80000000000001</v>
      </c>
      <c r="X226" s="2">
        <v>146.19999999999999</v>
      </c>
      <c r="Y226" s="2">
        <v>124.6</v>
      </c>
      <c r="Z226" s="2">
        <v>137.69999999999999</v>
      </c>
      <c r="AA226" s="2">
        <v>150.30000000000001</v>
      </c>
      <c r="AB226" s="2">
        <v>133.4</v>
      </c>
      <c r="AC226" s="2">
        <v>137.69999999999999</v>
      </c>
      <c r="AD226" s="2">
        <v>140.4</v>
      </c>
    </row>
    <row r="227" spans="1:30" ht="14.4" x14ac:dyDescent="0.3">
      <c r="A227" s="2" t="s">
        <v>30</v>
      </c>
      <c r="B227" s="2">
        <v>2019</v>
      </c>
      <c r="C227" s="2" t="s">
        <v>38</v>
      </c>
      <c r="D227" s="2">
        <v>137.4</v>
      </c>
      <c r="E227" s="2">
        <v>159.5</v>
      </c>
      <c r="F227" s="2">
        <v>134.5</v>
      </c>
      <c r="G227" s="2">
        <v>142.6</v>
      </c>
      <c r="H227" s="2">
        <v>124</v>
      </c>
      <c r="I227" s="2">
        <v>143.69999999999999</v>
      </c>
      <c r="J227" s="2">
        <v>133.4</v>
      </c>
      <c r="K227" s="2">
        <v>125.1</v>
      </c>
      <c r="L227" s="2">
        <v>109.3</v>
      </c>
      <c r="M227" s="2">
        <v>139.30000000000001</v>
      </c>
      <c r="N227" s="2">
        <v>137.69999999999999</v>
      </c>
      <c r="O227" s="2">
        <v>156.4</v>
      </c>
      <c r="P227" s="2">
        <v>139.19999999999999</v>
      </c>
      <c r="Q227" s="2">
        <v>163.30000000000001</v>
      </c>
      <c r="R227" s="2">
        <v>151.30000000000001</v>
      </c>
      <c r="S227" s="2">
        <v>146.6</v>
      </c>
      <c r="T227" s="2">
        <v>150.69999999999999</v>
      </c>
      <c r="U227" s="2" t="s">
        <v>32</v>
      </c>
      <c r="V227" s="2">
        <v>146.9</v>
      </c>
      <c r="W227" s="2">
        <v>149.5</v>
      </c>
      <c r="X227" s="2">
        <v>151.30000000000001</v>
      </c>
      <c r="Y227" s="2">
        <v>130.19999999999999</v>
      </c>
      <c r="Z227" s="2">
        <v>145.9</v>
      </c>
      <c r="AA227" s="2">
        <v>156.69999999999999</v>
      </c>
      <c r="AB227" s="2">
        <v>133.9</v>
      </c>
      <c r="AC227" s="2">
        <v>142.9</v>
      </c>
      <c r="AD227" s="2">
        <v>142.4</v>
      </c>
    </row>
    <row r="228" spans="1:30" ht="14.4" x14ac:dyDescent="0.3">
      <c r="A228" s="2" t="s">
        <v>33</v>
      </c>
      <c r="B228" s="2">
        <v>2019</v>
      </c>
      <c r="C228" s="2" t="s">
        <v>38</v>
      </c>
      <c r="D228" s="2">
        <v>140.4</v>
      </c>
      <c r="E228" s="2">
        <v>156.69999999999999</v>
      </c>
      <c r="F228" s="2">
        <v>138.30000000000001</v>
      </c>
      <c r="G228" s="2">
        <v>142.4</v>
      </c>
      <c r="H228" s="2">
        <v>118.6</v>
      </c>
      <c r="I228" s="2">
        <v>149.69999999999999</v>
      </c>
      <c r="J228" s="2">
        <v>161.6</v>
      </c>
      <c r="K228" s="2">
        <v>124.4</v>
      </c>
      <c r="L228" s="2">
        <v>111.2</v>
      </c>
      <c r="M228" s="2">
        <v>141</v>
      </c>
      <c r="N228" s="2">
        <v>128.9</v>
      </c>
      <c r="O228" s="2">
        <v>154.5</v>
      </c>
      <c r="P228" s="2">
        <v>143.80000000000001</v>
      </c>
      <c r="Q228" s="2">
        <v>166.2</v>
      </c>
      <c r="R228" s="2">
        <v>144</v>
      </c>
      <c r="S228" s="2">
        <v>131.69999999999999</v>
      </c>
      <c r="T228" s="2">
        <v>142.19999999999999</v>
      </c>
      <c r="U228" s="2">
        <v>150.1</v>
      </c>
      <c r="V228" s="2">
        <v>129.4</v>
      </c>
      <c r="W228" s="2">
        <v>137.19999999999999</v>
      </c>
      <c r="X228" s="2">
        <v>139.80000000000001</v>
      </c>
      <c r="Y228" s="2">
        <v>120.1</v>
      </c>
      <c r="Z228" s="2">
        <v>134</v>
      </c>
      <c r="AA228" s="2">
        <v>148</v>
      </c>
      <c r="AB228" s="2">
        <v>132.6</v>
      </c>
      <c r="AC228" s="2">
        <v>133.30000000000001</v>
      </c>
      <c r="AD228" s="2">
        <v>141.5</v>
      </c>
    </row>
    <row r="229" spans="1:30" ht="14.4" x14ac:dyDescent="0.3">
      <c r="A229" s="2" t="s">
        <v>34</v>
      </c>
      <c r="B229" s="2">
        <v>2019</v>
      </c>
      <c r="C229" s="2" t="s">
        <v>38</v>
      </c>
      <c r="D229" s="2">
        <v>138.30000000000001</v>
      </c>
      <c r="E229" s="2">
        <v>158.5</v>
      </c>
      <c r="F229" s="2">
        <v>136</v>
      </c>
      <c r="G229" s="2">
        <v>142.5</v>
      </c>
      <c r="H229" s="2">
        <v>122</v>
      </c>
      <c r="I229" s="2">
        <v>146.5</v>
      </c>
      <c r="J229" s="2">
        <v>143</v>
      </c>
      <c r="K229" s="2">
        <v>124.9</v>
      </c>
      <c r="L229" s="2">
        <v>109.9</v>
      </c>
      <c r="M229" s="2">
        <v>139.9</v>
      </c>
      <c r="N229" s="2">
        <v>134</v>
      </c>
      <c r="O229" s="2">
        <v>155.5</v>
      </c>
      <c r="P229" s="2">
        <v>140.9</v>
      </c>
      <c r="Q229" s="2">
        <v>164.1</v>
      </c>
      <c r="R229" s="2">
        <v>148.4</v>
      </c>
      <c r="S229" s="2">
        <v>140.4</v>
      </c>
      <c r="T229" s="2">
        <v>147.30000000000001</v>
      </c>
      <c r="U229" s="2">
        <v>150.1</v>
      </c>
      <c r="V229" s="2">
        <v>140.30000000000001</v>
      </c>
      <c r="W229" s="2">
        <v>143.69999999999999</v>
      </c>
      <c r="X229" s="2">
        <v>146.9</v>
      </c>
      <c r="Y229" s="2">
        <v>124.9</v>
      </c>
      <c r="Z229" s="2">
        <v>139.19999999999999</v>
      </c>
      <c r="AA229" s="2">
        <v>151.6</v>
      </c>
      <c r="AB229" s="2">
        <v>133.4</v>
      </c>
      <c r="AC229" s="2">
        <v>138.19999999999999</v>
      </c>
      <c r="AD229" s="2">
        <v>142</v>
      </c>
    </row>
    <row r="230" spans="1:30" ht="14.4" x14ac:dyDescent="0.3">
      <c r="A230" s="2" t="s">
        <v>30</v>
      </c>
      <c r="B230" s="2">
        <v>2019</v>
      </c>
      <c r="C230" s="2" t="s">
        <v>39</v>
      </c>
      <c r="D230" s="2">
        <v>137.80000000000001</v>
      </c>
      <c r="E230" s="2">
        <v>163.5</v>
      </c>
      <c r="F230" s="2">
        <v>136.19999999999999</v>
      </c>
      <c r="G230" s="2">
        <v>143.19999999999999</v>
      </c>
      <c r="H230" s="2">
        <v>124.3</v>
      </c>
      <c r="I230" s="2">
        <v>143.30000000000001</v>
      </c>
      <c r="J230" s="2">
        <v>140.6</v>
      </c>
      <c r="K230" s="2">
        <v>128.69999999999999</v>
      </c>
      <c r="L230" s="2">
        <v>110.6</v>
      </c>
      <c r="M230" s="2">
        <v>140.4</v>
      </c>
      <c r="N230" s="2">
        <v>138</v>
      </c>
      <c r="O230" s="2">
        <v>156.6</v>
      </c>
      <c r="P230" s="2">
        <v>141</v>
      </c>
      <c r="Q230" s="2">
        <v>164.2</v>
      </c>
      <c r="R230" s="2">
        <v>151.4</v>
      </c>
      <c r="S230" s="2">
        <v>146.5</v>
      </c>
      <c r="T230" s="2">
        <v>150.69999999999999</v>
      </c>
      <c r="U230" s="2" t="s">
        <v>32</v>
      </c>
      <c r="V230" s="2">
        <v>147.80000000000001</v>
      </c>
      <c r="W230" s="2">
        <v>149.6</v>
      </c>
      <c r="X230" s="2">
        <v>151.69999999999999</v>
      </c>
      <c r="Y230" s="2">
        <v>130.19999999999999</v>
      </c>
      <c r="Z230" s="2">
        <v>146.4</v>
      </c>
      <c r="AA230" s="2">
        <v>157.69999999999999</v>
      </c>
      <c r="AB230" s="2">
        <v>134.80000000000001</v>
      </c>
      <c r="AC230" s="2">
        <v>143.30000000000001</v>
      </c>
      <c r="AD230" s="2">
        <v>143.6</v>
      </c>
    </row>
    <row r="231" spans="1:30" ht="14.4" x14ac:dyDescent="0.3">
      <c r="A231" s="2" t="s">
        <v>33</v>
      </c>
      <c r="B231" s="2">
        <v>2019</v>
      </c>
      <c r="C231" s="2" t="s">
        <v>39</v>
      </c>
      <c r="D231" s="2">
        <v>140.69999999999999</v>
      </c>
      <c r="E231" s="2">
        <v>159.6</v>
      </c>
      <c r="F231" s="2">
        <v>140.4</v>
      </c>
      <c r="G231" s="2">
        <v>143.4</v>
      </c>
      <c r="H231" s="2">
        <v>118.6</v>
      </c>
      <c r="I231" s="2">
        <v>150.9</v>
      </c>
      <c r="J231" s="2">
        <v>169.8</v>
      </c>
      <c r="K231" s="2">
        <v>127.4</v>
      </c>
      <c r="L231" s="2">
        <v>111.8</v>
      </c>
      <c r="M231" s="2">
        <v>141</v>
      </c>
      <c r="N231" s="2">
        <v>129</v>
      </c>
      <c r="O231" s="2">
        <v>155.1</v>
      </c>
      <c r="P231" s="2">
        <v>145.6</v>
      </c>
      <c r="Q231" s="2">
        <v>166.7</v>
      </c>
      <c r="R231" s="2">
        <v>144.30000000000001</v>
      </c>
      <c r="S231" s="2">
        <v>131.69999999999999</v>
      </c>
      <c r="T231" s="2">
        <v>142.4</v>
      </c>
      <c r="U231" s="2">
        <v>149.4</v>
      </c>
      <c r="V231" s="2">
        <v>130.5</v>
      </c>
      <c r="W231" s="2">
        <v>137.4</v>
      </c>
      <c r="X231" s="2">
        <v>140.30000000000001</v>
      </c>
      <c r="Y231" s="2">
        <v>119.6</v>
      </c>
      <c r="Z231" s="2">
        <v>134.30000000000001</v>
      </c>
      <c r="AA231" s="2">
        <v>148.9</v>
      </c>
      <c r="AB231" s="2">
        <v>133.69999999999999</v>
      </c>
      <c r="AC231" s="2">
        <v>133.6</v>
      </c>
      <c r="AD231" s="2">
        <v>142.1</v>
      </c>
    </row>
    <row r="232" spans="1:30" ht="14.4" x14ac:dyDescent="0.3">
      <c r="A232" s="2" t="s">
        <v>34</v>
      </c>
      <c r="B232" s="2">
        <v>2019</v>
      </c>
      <c r="C232" s="2" t="s">
        <v>39</v>
      </c>
      <c r="D232" s="2">
        <v>138.69999999999999</v>
      </c>
      <c r="E232" s="2">
        <v>162.1</v>
      </c>
      <c r="F232" s="2">
        <v>137.80000000000001</v>
      </c>
      <c r="G232" s="2">
        <v>143.30000000000001</v>
      </c>
      <c r="H232" s="2">
        <v>122.2</v>
      </c>
      <c r="I232" s="2">
        <v>146.80000000000001</v>
      </c>
      <c r="J232" s="2">
        <v>150.5</v>
      </c>
      <c r="K232" s="2">
        <v>128.30000000000001</v>
      </c>
      <c r="L232" s="2">
        <v>111</v>
      </c>
      <c r="M232" s="2">
        <v>140.6</v>
      </c>
      <c r="N232" s="2">
        <v>134.19999999999999</v>
      </c>
      <c r="O232" s="2">
        <v>155.9</v>
      </c>
      <c r="P232" s="2">
        <v>142.69999999999999</v>
      </c>
      <c r="Q232" s="2">
        <v>164.9</v>
      </c>
      <c r="R232" s="2">
        <v>148.6</v>
      </c>
      <c r="S232" s="2">
        <v>140.4</v>
      </c>
      <c r="T232" s="2">
        <v>147.4</v>
      </c>
      <c r="U232" s="2">
        <v>149.4</v>
      </c>
      <c r="V232" s="2">
        <v>141.19999999999999</v>
      </c>
      <c r="W232" s="2">
        <v>143.80000000000001</v>
      </c>
      <c r="X232" s="2">
        <v>147.4</v>
      </c>
      <c r="Y232" s="2">
        <v>124.6</v>
      </c>
      <c r="Z232" s="2">
        <v>139.6</v>
      </c>
      <c r="AA232" s="2">
        <v>152.5</v>
      </c>
      <c r="AB232" s="2">
        <v>134.30000000000001</v>
      </c>
      <c r="AC232" s="2">
        <v>138.6</v>
      </c>
      <c r="AD232" s="2">
        <v>142.9</v>
      </c>
    </row>
    <row r="233" spans="1:30" ht="14.4" x14ac:dyDescent="0.3">
      <c r="A233" s="2" t="s">
        <v>30</v>
      </c>
      <c r="B233" s="2">
        <v>2019</v>
      </c>
      <c r="C233" s="2" t="s">
        <v>40</v>
      </c>
      <c r="D233" s="2">
        <v>138.4</v>
      </c>
      <c r="E233" s="2">
        <v>164</v>
      </c>
      <c r="F233" s="2">
        <v>138.4</v>
      </c>
      <c r="G233" s="2">
        <v>143.9</v>
      </c>
      <c r="H233" s="2">
        <v>124.4</v>
      </c>
      <c r="I233" s="2">
        <v>146.4</v>
      </c>
      <c r="J233" s="2">
        <v>150.1</v>
      </c>
      <c r="K233" s="2">
        <v>130.6</v>
      </c>
      <c r="L233" s="2">
        <v>110.8</v>
      </c>
      <c r="M233" s="2">
        <v>141.69999999999999</v>
      </c>
      <c r="N233" s="2">
        <v>138.5</v>
      </c>
      <c r="O233" s="2">
        <v>156.69999999999999</v>
      </c>
      <c r="P233" s="2">
        <v>143</v>
      </c>
      <c r="Q233" s="2">
        <v>164.5</v>
      </c>
      <c r="R233" s="2">
        <v>151.6</v>
      </c>
      <c r="S233" s="2">
        <v>146.6</v>
      </c>
      <c r="T233" s="2">
        <v>150.9</v>
      </c>
      <c r="U233" s="2" t="s">
        <v>32</v>
      </c>
      <c r="V233" s="2">
        <v>146.80000000000001</v>
      </c>
      <c r="W233" s="2">
        <v>150</v>
      </c>
      <c r="X233" s="2">
        <v>152.19999999999999</v>
      </c>
      <c r="Y233" s="2">
        <v>131.19999999999999</v>
      </c>
      <c r="Z233" s="2">
        <v>147.5</v>
      </c>
      <c r="AA233" s="2">
        <v>159.1</v>
      </c>
      <c r="AB233" s="2">
        <v>136.1</v>
      </c>
      <c r="AC233" s="2">
        <v>144.19999999999999</v>
      </c>
      <c r="AD233" s="2">
        <v>144.9</v>
      </c>
    </row>
    <row r="234" spans="1:30" ht="14.4" x14ac:dyDescent="0.3">
      <c r="A234" s="2" t="s">
        <v>33</v>
      </c>
      <c r="B234" s="2">
        <v>2019</v>
      </c>
      <c r="C234" s="2" t="s">
        <v>40</v>
      </c>
      <c r="D234" s="2">
        <v>141.4</v>
      </c>
      <c r="E234" s="2">
        <v>160.19999999999999</v>
      </c>
      <c r="F234" s="2">
        <v>142.5</v>
      </c>
      <c r="G234" s="2">
        <v>144.1</v>
      </c>
      <c r="H234" s="2">
        <v>119.3</v>
      </c>
      <c r="I234" s="2">
        <v>154.69999999999999</v>
      </c>
      <c r="J234" s="2">
        <v>180.1</v>
      </c>
      <c r="K234" s="2">
        <v>128.9</v>
      </c>
      <c r="L234" s="2">
        <v>111.8</v>
      </c>
      <c r="M234" s="2">
        <v>141.6</v>
      </c>
      <c r="N234" s="2">
        <v>129.5</v>
      </c>
      <c r="O234" s="2">
        <v>155.6</v>
      </c>
      <c r="P234" s="2">
        <v>147.69999999999999</v>
      </c>
      <c r="Q234" s="2">
        <v>167.2</v>
      </c>
      <c r="R234" s="2">
        <v>144.69999999999999</v>
      </c>
      <c r="S234" s="2">
        <v>131.9</v>
      </c>
      <c r="T234" s="2">
        <v>142.69999999999999</v>
      </c>
      <c r="U234" s="2">
        <v>150.6</v>
      </c>
      <c r="V234" s="2">
        <v>127</v>
      </c>
      <c r="W234" s="2">
        <v>137.69999999999999</v>
      </c>
      <c r="X234" s="2">
        <v>140.80000000000001</v>
      </c>
      <c r="Y234" s="2">
        <v>120.6</v>
      </c>
      <c r="Z234" s="2">
        <v>135</v>
      </c>
      <c r="AA234" s="2">
        <v>150.4</v>
      </c>
      <c r="AB234" s="2">
        <v>135.1</v>
      </c>
      <c r="AC234" s="2">
        <v>134.5</v>
      </c>
      <c r="AD234" s="2">
        <v>143.30000000000001</v>
      </c>
    </row>
    <row r="235" spans="1:30" ht="14.4" x14ac:dyDescent="0.3">
      <c r="A235" s="2" t="s">
        <v>34</v>
      </c>
      <c r="B235" s="2">
        <v>2019</v>
      </c>
      <c r="C235" s="2" t="s">
        <v>40</v>
      </c>
      <c r="D235" s="2">
        <v>139.30000000000001</v>
      </c>
      <c r="E235" s="2">
        <v>162.69999999999999</v>
      </c>
      <c r="F235" s="2">
        <v>140</v>
      </c>
      <c r="G235" s="2">
        <v>144</v>
      </c>
      <c r="H235" s="2">
        <v>122.5</v>
      </c>
      <c r="I235" s="2">
        <v>150.30000000000001</v>
      </c>
      <c r="J235" s="2">
        <v>160.30000000000001</v>
      </c>
      <c r="K235" s="2">
        <v>130</v>
      </c>
      <c r="L235" s="2">
        <v>111.1</v>
      </c>
      <c r="M235" s="2">
        <v>141.69999999999999</v>
      </c>
      <c r="N235" s="2">
        <v>134.69999999999999</v>
      </c>
      <c r="O235" s="2">
        <v>156.19999999999999</v>
      </c>
      <c r="P235" s="2">
        <v>144.69999999999999</v>
      </c>
      <c r="Q235" s="2">
        <v>165.2</v>
      </c>
      <c r="R235" s="2">
        <v>148.9</v>
      </c>
      <c r="S235" s="2">
        <v>140.5</v>
      </c>
      <c r="T235" s="2">
        <v>147.6</v>
      </c>
      <c r="U235" s="2">
        <v>150.6</v>
      </c>
      <c r="V235" s="2">
        <v>139.30000000000001</v>
      </c>
      <c r="W235" s="2">
        <v>144.19999999999999</v>
      </c>
      <c r="X235" s="2">
        <v>147.9</v>
      </c>
      <c r="Y235" s="2">
        <v>125.6</v>
      </c>
      <c r="Z235" s="2">
        <v>140.5</v>
      </c>
      <c r="AA235" s="2">
        <v>154</v>
      </c>
      <c r="AB235" s="2">
        <v>135.69999999999999</v>
      </c>
      <c r="AC235" s="2">
        <v>139.5</v>
      </c>
      <c r="AD235" s="2">
        <v>144.19999999999999</v>
      </c>
    </row>
    <row r="236" spans="1:30" ht="14.4" x14ac:dyDescent="0.3">
      <c r="A236" s="2" t="s">
        <v>30</v>
      </c>
      <c r="B236" s="2">
        <v>2019</v>
      </c>
      <c r="C236" s="2" t="s">
        <v>41</v>
      </c>
      <c r="D236" s="2">
        <v>139.19999999999999</v>
      </c>
      <c r="E236" s="2">
        <v>161.9</v>
      </c>
      <c r="F236" s="2">
        <v>137.1</v>
      </c>
      <c r="G236" s="2">
        <v>144.6</v>
      </c>
      <c r="H236" s="2">
        <v>124.7</v>
      </c>
      <c r="I236" s="2">
        <v>145.5</v>
      </c>
      <c r="J236" s="2">
        <v>156.19999999999999</v>
      </c>
      <c r="K236" s="2">
        <v>131.5</v>
      </c>
      <c r="L236" s="2">
        <v>111.7</v>
      </c>
      <c r="M236" s="2">
        <v>142.69999999999999</v>
      </c>
      <c r="N236" s="2">
        <v>138.5</v>
      </c>
      <c r="O236" s="2">
        <v>156.9</v>
      </c>
      <c r="P236" s="2">
        <v>144</v>
      </c>
      <c r="Q236" s="2">
        <v>165.1</v>
      </c>
      <c r="R236" s="2">
        <v>151.80000000000001</v>
      </c>
      <c r="S236" s="2">
        <v>146.6</v>
      </c>
      <c r="T236" s="2">
        <v>151.1</v>
      </c>
      <c r="U236" s="2" t="s">
        <v>32</v>
      </c>
      <c r="V236" s="2">
        <v>146.4</v>
      </c>
      <c r="W236" s="2">
        <v>150.19999999999999</v>
      </c>
      <c r="X236" s="2">
        <v>152.69999999999999</v>
      </c>
      <c r="Y236" s="2">
        <v>131.4</v>
      </c>
      <c r="Z236" s="2">
        <v>148</v>
      </c>
      <c r="AA236" s="2">
        <v>159.69999999999999</v>
      </c>
      <c r="AB236" s="2">
        <v>138.80000000000001</v>
      </c>
      <c r="AC236" s="2">
        <v>144.9</v>
      </c>
      <c r="AD236" s="2">
        <v>145.69999999999999</v>
      </c>
    </row>
    <row r="237" spans="1:30" ht="14.4" x14ac:dyDescent="0.3">
      <c r="A237" s="2" t="s">
        <v>33</v>
      </c>
      <c r="B237" s="2">
        <v>2019</v>
      </c>
      <c r="C237" s="2" t="s">
        <v>41</v>
      </c>
      <c r="D237" s="2">
        <v>142.1</v>
      </c>
      <c r="E237" s="2">
        <v>158.30000000000001</v>
      </c>
      <c r="F237" s="2">
        <v>140.80000000000001</v>
      </c>
      <c r="G237" s="2">
        <v>144.9</v>
      </c>
      <c r="H237" s="2">
        <v>119.9</v>
      </c>
      <c r="I237" s="2">
        <v>153.9</v>
      </c>
      <c r="J237" s="2">
        <v>189.1</v>
      </c>
      <c r="K237" s="2">
        <v>129.80000000000001</v>
      </c>
      <c r="L237" s="2">
        <v>112.7</v>
      </c>
      <c r="M237" s="2">
        <v>142.5</v>
      </c>
      <c r="N237" s="2">
        <v>129.80000000000001</v>
      </c>
      <c r="O237" s="2">
        <v>156.19999999999999</v>
      </c>
      <c r="P237" s="2">
        <v>149.1</v>
      </c>
      <c r="Q237" s="2">
        <v>167.9</v>
      </c>
      <c r="R237" s="2">
        <v>145</v>
      </c>
      <c r="S237" s="2">
        <v>132.19999999999999</v>
      </c>
      <c r="T237" s="2">
        <v>143</v>
      </c>
      <c r="U237" s="2">
        <v>151.6</v>
      </c>
      <c r="V237" s="2">
        <v>125.5</v>
      </c>
      <c r="W237" s="2">
        <v>138.1</v>
      </c>
      <c r="X237" s="2">
        <v>141.5</v>
      </c>
      <c r="Y237" s="2">
        <v>120.8</v>
      </c>
      <c r="Z237" s="2">
        <v>135.4</v>
      </c>
      <c r="AA237" s="2">
        <v>151.5</v>
      </c>
      <c r="AB237" s="2">
        <v>137.80000000000001</v>
      </c>
      <c r="AC237" s="2">
        <v>135.30000000000001</v>
      </c>
      <c r="AD237" s="2">
        <v>144.19999999999999</v>
      </c>
    </row>
    <row r="238" spans="1:30" ht="14.4" x14ac:dyDescent="0.3">
      <c r="A238" s="2" t="s">
        <v>34</v>
      </c>
      <c r="B238" s="2">
        <v>2019</v>
      </c>
      <c r="C238" s="2" t="s">
        <v>41</v>
      </c>
      <c r="D238" s="2">
        <v>140.1</v>
      </c>
      <c r="E238" s="2">
        <v>160.6</v>
      </c>
      <c r="F238" s="2">
        <v>138.5</v>
      </c>
      <c r="G238" s="2">
        <v>144.69999999999999</v>
      </c>
      <c r="H238" s="2">
        <v>122.9</v>
      </c>
      <c r="I238" s="2">
        <v>149.4</v>
      </c>
      <c r="J238" s="2">
        <v>167.4</v>
      </c>
      <c r="K238" s="2">
        <v>130.9</v>
      </c>
      <c r="L238" s="2">
        <v>112</v>
      </c>
      <c r="M238" s="2">
        <v>142.6</v>
      </c>
      <c r="N238" s="2">
        <v>134.9</v>
      </c>
      <c r="O238" s="2">
        <v>156.6</v>
      </c>
      <c r="P238" s="2">
        <v>145.9</v>
      </c>
      <c r="Q238" s="2">
        <v>165.8</v>
      </c>
      <c r="R238" s="2">
        <v>149.1</v>
      </c>
      <c r="S238" s="2">
        <v>140.6</v>
      </c>
      <c r="T238" s="2">
        <v>147.9</v>
      </c>
      <c r="U238" s="2">
        <v>151.6</v>
      </c>
      <c r="V238" s="2">
        <v>138.5</v>
      </c>
      <c r="W238" s="2">
        <v>144.5</v>
      </c>
      <c r="X238" s="2">
        <v>148.5</v>
      </c>
      <c r="Y238" s="2">
        <v>125.8</v>
      </c>
      <c r="Z238" s="2">
        <v>140.9</v>
      </c>
      <c r="AA238" s="2">
        <v>154.9</v>
      </c>
      <c r="AB238" s="2">
        <v>138.4</v>
      </c>
      <c r="AC238" s="2">
        <v>140.19999999999999</v>
      </c>
      <c r="AD238" s="2">
        <v>145</v>
      </c>
    </row>
    <row r="239" spans="1:30" ht="14.4" x14ac:dyDescent="0.3">
      <c r="A239" s="2" t="s">
        <v>30</v>
      </c>
      <c r="B239" s="2">
        <v>2019</v>
      </c>
      <c r="C239" s="2" t="s">
        <v>42</v>
      </c>
      <c r="D239" s="2">
        <v>140.1</v>
      </c>
      <c r="E239" s="2">
        <v>161.9</v>
      </c>
      <c r="F239" s="2">
        <v>138.30000000000001</v>
      </c>
      <c r="G239" s="2">
        <v>145.69999999999999</v>
      </c>
      <c r="H239" s="2">
        <v>125.1</v>
      </c>
      <c r="I239" s="2">
        <v>143.80000000000001</v>
      </c>
      <c r="J239" s="2">
        <v>163.4</v>
      </c>
      <c r="K239" s="2">
        <v>132.19999999999999</v>
      </c>
      <c r="L239" s="2">
        <v>112.8</v>
      </c>
      <c r="M239" s="2">
        <v>144.19999999999999</v>
      </c>
      <c r="N239" s="2">
        <v>138.5</v>
      </c>
      <c r="O239" s="2">
        <v>157.19999999999999</v>
      </c>
      <c r="P239" s="2">
        <v>145.5</v>
      </c>
      <c r="Q239" s="2">
        <v>165.7</v>
      </c>
      <c r="R239" s="2">
        <v>151.69999999999999</v>
      </c>
      <c r="S239" s="2">
        <v>146.6</v>
      </c>
      <c r="T239" s="2">
        <v>151</v>
      </c>
      <c r="U239" s="2" t="s">
        <v>32</v>
      </c>
      <c r="V239" s="2">
        <v>146.9</v>
      </c>
      <c r="W239" s="2">
        <v>150.30000000000001</v>
      </c>
      <c r="X239" s="2">
        <v>153.4</v>
      </c>
      <c r="Y239" s="2">
        <v>131.6</v>
      </c>
      <c r="Z239" s="2">
        <v>148.30000000000001</v>
      </c>
      <c r="AA239" s="2">
        <v>160.19999999999999</v>
      </c>
      <c r="AB239" s="2">
        <v>140.19999999999999</v>
      </c>
      <c r="AC239" s="2">
        <v>145.4</v>
      </c>
      <c r="AD239" s="2">
        <v>146.69999999999999</v>
      </c>
    </row>
    <row r="240" spans="1:30" ht="14.4" x14ac:dyDescent="0.3">
      <c r="A240" s="2" t="s">
        <v>33</v>
      </c>
      <c r="B240" s="2">
        <v>2019</v>
      </c>
      <c r="C240" s="2" t="s">
        <v>42</v>
      </c>
      <c r="D240" s="2">
        <v>142.69999999999999</v>
      </c>
      <c r="E240" s="2">
        <v>158.69999999999999</v>
      </c>
      <c r="F240" s="2">
        <v>141.6</v>
      </c>
      <c r="G240" s="2">
        <v>144.9</v>
      </c>
      <c r="H240" s="2">
        <v>120.8</v>
      </c>
      <c r="I240" s="2">
        <v>149.80000000000001</v>
      </c>
      <c r="J240" s="2">
        <v>192.4</v>
      </c>
      <c r="K240" s="2">
        <v>130.30000000000001</v>
      </c>
      <c r="L240" s="2">
        <v>114</v>
      </c>
      <c r="M240" s="2">
        <v>143.80000000000001</v>
      </c>
      <c r="N240" s="2">
        <v>130</v>
      </c>
      <c r="O240" s="2">
        <v>156.4</v>
      </c>
      <c r="P240" s="2">
        <v>149.5</v>
      </c>
      <c r="Q240" s="2">
        <v>168.6</v>
      </c>
      <c r="R240" s="2">
        <v>145.30000000000001</v>
      </c>
      <c r="S240" s="2">
        <v>132.19999999999999</v>
      </c>
      <c r="T240" s="2">
        <v>143.30000000000001</v>
      </c>
      <c r="U240" s="2">
        <v>152.19999999999999</v>
      </c>
      <c r="V240" s="2">
        <v>126.6</v>
      </c>
      <c r="W240" s="2">
        <v>138.30000000000001</v>
      </c>
      <c r="X240" s="2">
        <v>141.9</v>
      </c>
      <c r="Y240" s="2">
        <v>121.2</v>
      </c>
      <c r="Z240" s="2">
        <v>135.9</v>
      </c>
      <c r="AA240" s="2">
        <v>151.6</v>
      </c>
      <c r="AB240" s="2">
        <v>139</v>
      </c>
      <c r="AC240" s="2">
        <v>135.69999999999999</v>
      </c>
      <c r="AD240" s="2">
        <v>144.69999999999999</v>
      </c>
    </row>
    <row r="241" spans="1:30" ht="14.4" x14ac:dyDescent="0.3">
      <c r="A241" s="2" t="s">
        <v>34</v>
      </c>
      <c r="B241" s="2">
        <v>2019</v>
      </c>
      <c r="C241" s="2" t="s">
        <v>42</v>
      </c>
      <c r="D241" s="2">
        <v>140.9</v>
      </c>
      <c r="E241" s="2">
        <v>160.80000000000001</v>
      </c>
      <c r="F241" s="2">
        <v>139.6</v>
      </c>
      <c r="G241" s="2">
        <v>145.4</v>
      </c>
      <c r="H241" s="2">
        <v>123.5</v>
      </c>
      <c r="I241" s="2">
        <v>146.6</v>
      </c>
      <c r="J241" s="2">
        <v>173.2</v>
      </c>
      <c r="K241" s="2">
        <v>131.6</v>
      </c>
      <c r="L241" s="2">
        <v>113.2</v>
      </c>
      <c r="M241" s="2">
        <v>144.1</v>
      </c>
      <c r="N241" s="2">
        <v>135</v>
      </c>
      <c r="O241" s="2">
        <v>156.80000000000001</v>
      </c>
      <c r="P241" s="2">
        <v>147</v>
      </c>
      <c r="Q241" s="2">
        <v>166.5</v>
      </c>
      <c r="R241" s="2">
        <v>149.19999999999999</v>
      </c>
      <c r="S241" s="2">
        <v>140.6</v>
      </c>
      <c r="T241" s="2">
        <v>147.9</v>
      </c>
      <c r="U241" s="2">
        <v>152.19999999999999</v>
      </c>
      <c r="V241" s="2">
        <v>139.19999999999999</v>
      </c>
      <c r="W241" s="2">
        <v>144.6</v>
      </c>
      <c r="X241" s="2">
        <v>149</v>
      </c>
      <c r="Y241" s="2">
        <v>126.1</v>
      </c>
      <c r="Z241" s="2">
        <v>141.30000000000001</v>
      </c>
      <c r="AA241" s="2">
        <v>155.19999999999999</v>
      </c>
      <c r="AB241" s="2">
        <v>139.69999999999999</v>
      </c>
      <c r="AC241" s="2">
        <v>140.69999999999999</v>
      </c>
      <c r="AD241" s="2">
        <v>145.80000000000001</v>
      </c>
    </row>
    <row r="242" spans="1:30" ht="14.4" x14ac:dyDescent="0.3">
      <c r="A242" s="2" t="s">
        <v>30</v>
      </c>
      <c r="B242" s="2">
        <v>2019</v>
      </c>
      <c r="C242" s="2" t="s">
        <v>43</v>
      </c>
      <c r="D242" s="2">
        <v>141</v>
      </c>
      <c r="E242" s="2">
        <v>161.6</v>
      </c>
      <c r="F242" s="2">
        <v>141.19999999999999</v>
      </c>
      <c r="G242" s="2">
        <v>146.5</v>
      </c>
      <c r="H242" s="2">
        <v>125.6</v>
      </c>
      <c r="I242" s="2">
        <v>145.69999999999999</v>
      </c>
      <c r="J242" s="2">
        <v>178.8</v>
      </c>
      <c r="K242" s="2">
        <v>133.1</v>
      </c>
      <c r="L242" s="2">
        <v>113.6</v>
      </c>
      <c r="M242" s="2">
        <v>145.5</v>
      </c>
      <c r="N242" s="2">
        <v>138.6</v>
      </c>
      <c r="O242" s="2">
        <v>157.4</v>
      </c>
      <c r="P242" s="2">
        <v>148.30000000000001</v>
      </c>
      <c r="Q242" s="2">
        <v>166.3</v>
      </c>
      <c r="R242" s="2">
        <v>151.69999999999999</v>
      </c>
      <c r="S242" s="2">
        <v>146.69999999999999</v>
      </c>
      <c r="T242" s="2">
        <v>151</v>
      </c>
      <c r="U242" s="2" t="s">
        <v>32</v>
      </c>
      <c r="V242" s="2">
        <v>147.69999999999999</v>
      </c>
      <c r="W242" s="2">
        <v>150.6</v>
      </c>
      <c r="X242" s="2">
        <v>153.69999999999999</v>
      </c>
      <c r="Y242" s="2">
        <v>131.69999999999999</v>
      </c>
      <c r="Z242" s="2">
        <v>148.69999999999999</v>
      </c>
      <c r="AA242" s="2">
        <v>160.69999999999999</v>
      </c>
      <c r="AB242" s="2">
        <v>140.30000000000001</v>
      </c>
      <c r="AC242" s="2">
        <v>145.69999999999999</v>
      </c>
      <c r="AD242" s="2">
        <v>148.30000000000001</v>
      </c>
    </row>
    <row r="243" spans="1:30" ht="14.4" x14ac:dyDescent="0.3">
      <c r="A243" s="2" t="s">
        <v>33</v>
      </c>
      <c r="B243" s="2">
        <v>2019</v>
      </c>
      <c r="C243" s="2" t="s">
        <v>43</v>
      </c>
      <c r="D243" s="2">
        <v>143.5</v>
      </c>
      <c r="E243" s="2">
        <v>159.80000000000001</v>
      </c>
      <c r="F243" s="2">
        <v>144.69999999999999</v>
      </c>
      <c r="G243" s="2">
        <v>145.6</v>
      </c>
      <c r="H243" s="2">
        <v>121.1</v>
      </c>
      <c r="I243" s="2">
        <v>150.6</v>
      </c>
      <c r="J243" s="2">
        <v>207.2</v>
      </c>
      <c r="K243" s="2">
        <v>131.19999999999999</v>
      </c>
      <c r="L243" s="2">
        <v>114.8</v>
      </c>
      <c r="M243" s="2">
        <v>145.19999999999999</v>
      </c>
      <c r="N243" s="2">
        <v>130.19999999999999</v>
      </c>
      <c r="O243" s="2">
        <v>156.80000000000001</v>
      </c>
      <c r="P243" s="2">
        <v>151.9</v>
      </c>
      <c r="Q243" s="2">
        <v>169.3</v>
      </c>
      <c r="R243" s="2">
        <v>145.9</v>
      </c>
      <c r="S243" s="2">
        <v>132.4</v>
      </c>
      <c r="T243" s="2">
        <v>143.9</v>
      </c>
      <c r="U243" s="2">
        <v>153</v>
      </c>
      <c r="V243" s="2">
        <v>128.9</v>
      </c>
      <c r="W243" s="2">
        <v>138.69999999999999</v>
      </c>
      <c r="X243" s="2">
        <v>142.4</v>
      </c>
      <c r="Y243" s="2">
        <v>121.5</v>
      </c>
      <c r="Z243" s="2">
        <v>136.19999999999999</v>
      </c>
      <c r="AA243" s="2">
        <v>151.69999999999999</v>
      </c>
      <c r="AB243" s="2">
        <v>139.5</v>
      </c>
      <c r="AC243" s="2">
        <v>136</v>
      </c>
      <c r="AD243" s="2">
        <v>146</v>
      </c>
    </row>
    <row r="244" spans="1:30" ht="14.4" x14ac:dyDescent="0.3">
      <c r="A244" s="2" t="s">
        <v>34</v>
      </c>
      <c r="B244" s="2">
        <v>2019</v>
      </c>
      <c r="C244" s="2" t="s">
        <v>43</v>
      </c>
      <c r="D244" s="2">
        <v>141.80000000000001</v>
      </c>
      <c r="E244" s="2">
        <v>161</v>
      </c>
      <c r="F244" s="2">
        <v>142.6</v>
      </c>
      <c r="G244" s="2">
        <v>146.19999999999999</v>
      </c>
      <c r="H244" s="2">
        <v>123.9</v>
      </c>
      <c r="I244" s="2">
        <v>148</v>
      </c>
      <c r="J244" s="2">
        <v>188.4</v>
      </c>
      <c r="K244" s="2">
        <v>132.5</v>
      </c>
      <c r="L244" s="2">
        <v>114</v>
      </c>
      <c r="M244" s="2">
        <v>145.4</v>
      </c>
      <c r="N244" s="2">
        <v>135.1</v>
      </c>
      <c r="O244" s="2">
        <v>157.1</v>
      </c>
      <c r="P244" s="2">
        <v>149.6</v>
      </c>
      <c r="Q244" s="2">
        <v>167.1</v>
      </c>
      <c r="R244" s="2">
        <v>149.4</v>
      </c>
      <c r="S244" s="2">
        <v>140.80000000000001</v>
      </c>
      <c r="T244" s="2">
        <v>148.19999999999999</v>
      </c>
      <c r="U244" s="2">
        <v>153</v>
      </c>
      <c r="V244" s="2">
        <v>140.6</v>
      </c>
      <c r="W244" s="2">
        <v>145</v>
      </c>
      <c r="X244" s="2">
        <v>149.4</v>
      </c>
      <c r="Y244" s="2">
        <v>126.3</v>
      </c>
      <c r="Z244" s="2">
        <v>141.69999999999999</v>
      </c>
      <c r="AA244" s="2">
        <v>155.4</v>
      </c>
      <c r="AB244" s="2">
        <v>140</v>
      </c>
      <c r="AC244" s="2">
        <v>141</v>
      </c>
      <c r="AD244" s="2">
        <v>147.19999999999999</v>
      </c>
    </row>
    <row r="245" spans="1:30" ht="14.4" x14ac:dyDescent="0.3">
      <c r="A245" s="2" t="s">
        <v>30</v>
      </c>
      <c r="B245" s="2">
        <v>2019</v>
      </c>
      <c r="C245" s="2" t="s">
        <v>44</v>
      </c>
      <c r="D245" s="2">
        <v>141.80000000000001</v>
      </c>
      <c r="E245" s="2">
        <v>163.69999999999999</v>
      </c>
      <c r="F245" s="2">
        <v>143.80000000000001</v>
      </c>
      <c r="G245" s="2">
        <v>147.1</v>
      </c>
      <c r="H245" s="2">
        <v>126</v>
      </c>
      <c r="I245" s="2">
        <v>146.19999999999999</v>
      </c>
      <c r="J245" s="2">
        <v>191.4</v>
      </c>
      <c r="K245" s="2">
        <v>136.19999999999999</v>
      </c>
      <c r="L245" s="2">
        <v>113.8</v>
      </c>
      <c r="M245" s="2">
        <v>147.30000000000001</v>
      </c>
      <c r="N245" s="2">
        <v>138.69999999999999</v>
      </c>
      <c r="O245" s="2">
        <v>157.69999999999999</v>
      </c>
      <c r="P245" s="2">
        <v>150.9</v>
      </c>
      <c r="Q245" s="2">
        <v>167.2</v>
      </c>
      <c r="R245" s="2">
        <v>152.30000000000001</v>
      </c>
      <c r="S245" s="2">
        <v>147</v>
      </c>
      <c r="T245" s="2">
        <v>151.5</v>
      </c>
      <c r="U245" s="2" t="s">
        <v>32</v>
      </c>
      <c r="V245" s="2">
        <v>148.4</v>
      </c>
      <c r="W245" s="2">
        <v>150.9</v>
      </c>
      <c r="X245" s="2">
        <v>154.30000000000001</v>
      </c>
      <c r="Y245" s="2">
        <v>132.1</v>
      </c>
      <c r="Z245" s="2">
        <v>149.1</v>
      </c>
      <c r="AA245" s="2">
        <v>160.80000000000001</v>
      </c>
      <c r="AB245" s="2">
        <v>140.6</v>
      </c>
      <c r="AC245" s="2">
        <v>146.1</v>
      </c>
      <c r="AD245" s="2">
        <v>149.9</v>
      </c>
    </row>
    <row r="246" spans="1:30" ht="14.4" x14ac:dyDescent="0.3">
      <c r="A246" s="2" t="s">
        <v>33</v>
      </c>
      <c r="B246" s="2">
        <v>2019</v>
      </c>
      <c r="C246" s="2" t="s">
        <v>44</v>
      </c>
      <c r="D246" s="2">
        <v>144.1</v>
      </c>
      <c r="E246" s="2">
        <v>162.4</v>
      </c>
      <c r="F246" s="2">
        <v>148.4</v>
      </c>
      <c r="G246" s="2">
        <v>145.9</v>
      </c>
      <c r="H246" s="2">
        <v>121.5</v>
      </c>
      <c r="I246" s="2">
        <v>148.80000000000001</v>
      </c>
      <c r="J246" s="2">
        <v>215.7</v>
      </c>
      <c r="K246" s="2">
        <v>134.6</v>
      </c>
      <c r="L246" s="2">
        <v>115</v>
      </c>
      <c r="M246" s="2">
        <v>146.30000000000001</v>
      </c>
      <c r="N246" s="2">
        <v>130.5</v>
      </c>
      <c r="O246" s="2">
        <v>157.19999999999999</v>
      </c>
      <c r="P246" s="2">
        <v>153.6</v>
      </c>
      <c r="Q246" s="2">
        <v>169.9</v>
      </c>
      <c r="R246" s="2">
        <v>146.30000000000001</v>
      </c>
      <c r="S246" s="2">
        <v>132.6</v>
      </c>
      <c r="T246" s="2">
        <v>144.19999999999999</v>
      </c>
      <c r="U246" s="2">
        <v>153.5</v>
      </c>
      <c r="V246" s="2">
        <v>132.19999999999999</v>
      </c>
      <c r="W246" s="2">
        <v>139.1</v>
      </c>
      <c r="X246" s="2">
        <v>142.80000000000001</v>
      </c>
      <c r="Y246" s="2">
        <v>121.7</v>
      </c>
      <c r="Z246" s="2">
        <v>136.69999999999999</v>
      </c>
      <c r="AA246" s="2">
        <v>151.80000000000001</v>
      </c>
      <c r="AB246" s="2">
        <v>139.80000000000001</v>
      </c>
      <c r="AC246" s="2">
        <v>136.30000000000001</v>
      </c>
      <c r="AD246" s="2">
        <v>147</v>
      </c>
    </row>
    <row r="247" spans="1:30" ht="14.4" x14ac:dyDescent="0.3">
      <c r="A247" s="2" t="s">
        <v>34</v>
      </c>
      <c r="B247" s="2">
        <v>2019</v>
      </c>
      <c r="C247" s="2" t="s">
        <v>44</v>
      </c>
      <c r="D247" s="2">
        <v>142.5</v>
      </c>
      <c r="E247" s="2">
        <v>163.19999999999999</v>
      </c>
      <c r="F247" s="2">
        <v>145.6</v>
      </c>
      <c r="G247" s="2">
        <v>146.69999999999999</v>
      </c>
      <c r="H247" s="2">
        <v>124.3</v>
      </c>
      <c r="I247" s="2">
        <v>147.4</v>
      </c>
      <c r="J247" s="2">
        <v>199.6</v>
      </c>
      <c r="K247" s="2">
        <v>135.69999999999999</v>
      </c>
      <c r="L247" s="2">
        <v>114.2</v>
      </c>
      <c r="M247" s="2">
        <v>147</v>
      </c>
      <c r="N247" s="2">
        <v>135.30000000000001</v>
      </c>
      <c r="O247" s="2">
        <v>157.5</v>
      </c>
      <c r="P247" s="2">
        <v>151.9</v>
      </c>
      <c r="Q247" s="2">
        <v>167.9</v>
      </c>
      <c r="R247" s="2">
        <v>149.9</v>
      </c>
      <c r="S247" s="2">
        <v>141</v>
      </c>
      <c r="T247" s="2">
        <v>148.6</v>
      </c>
      <c r="U247" s="2">
        <v>153.5</v>
      </c>
      <c r="V247" s="2">
        <v>142.30000000000001</v>
      </c>
      <c r="W247" s="2">
        <v>145.30000000000001</v>
      </c>
      <c r="X247" s="2">
        <v>149.9</v>
      </c>
      <c r="Y247" s="2">
        <v>126.6</v>
      </c>
      <c r="Z247" s="2">
        <v>142.1</v>
      </c>
      <c r="AA247" s="2">
        <v>155.5</v>
      </c>
      <c r="AB247" s="2">
        <v>140.30000000000001</v>
      </c>
      <c r="AC247" s="2">
        <v>141.30000000000001</v>
      </c>
      <c r="AD247" s="2">
        <v>148.6</v>
      </c>
    </row>
    <row r="248" spans="1:30" ht="14.4" x14ac:dyDescent="0.3">
      <c r="A248" s="2" t="s">
        <v>30</v>
      </c>
      <c r="B248" s="2">
        <v>2019</v>
      </c>
      <c r="C248" s="2" t="s">
        <v>45</v>
      </c>
      <c r="D248" s="2">
        <v>142.80000000000001</v>
      </c>
      <c r="E248" s="2">
        <v>165.3</v>
      </c>
      <c r="F248" s="2">
        <v>149.5</v>
      </c>
      <c r="G248" s="2">
        <v>148.69999999999999</v>
      </c>
      <c r="H248" s="2">
        <v>127.5</v>
      </c>
      <c r="I248" s="2">
        <v>144.30000000000001</v>
      </c>
      <c r="J248" s="2">
        <v>209.5</v>
      </c>
      <c r="K248" s="2">
        <v>138.80000000000001</v>
      </c>
      <c r="L248" s="2">
        <v>113.6</v>
      </c>
      <c r="M248" s="2">
        <v>149.1</v>
      </c>
      <c r="N248" s="2">
        <v>139.30000000000001</v>
      </c>
      <c r="O248" s="2">
        <v>158.30000000000001</v>
      </c>
      <c r="P248" s="2">
        <v>154.30000000000001</v>
      </c>
      <c r="Q248" s="2">
        <v>167.8</v>
      </c>
      <c r="R248" s="2">
        <v>152.6</v>
      </c>
      <c r="S248" s="2">
        <v>147.30000000000001</v>
      </c>
      <c r="T248" s="2">
        <v>151.9</v>
      </c>
      <c r="U248" s="2" t="s">
        <v>32</v>
      </c>
      <c r="V248" s="2">
        <v>149.9</v>
      </c>
      <c r="W248" s="2">
        <v>151.19999999999999</v>
      </c>
      <c r="X248" s="2">
        <v>154.80000000000001</v>
      </c>
      <c r="Y248" s="2">
        <v>135</v>
      </c>
      <c r="Z248" s="2">
        <v>149.5</v>
      </c>
      <c r="AA248" s="2">
        <v>161.1</v>
      </c>
      <c r="AB248" s="2">
        <v>140.6</v>
      </c>
      <c r="AC248" s="2">
        <v>147.1</v>
      </c>
      <c r="AD248" s="2">
        <v>152.30000000000001</v>
      </c>
    </row>
    <row r="249" spans="1:30" ht="14.4" x14ac:dyDescent="0.3">
      <c r="A249" s="2" t="s">
        <v>33</v>
      </c>
      <c r="B249" s="2">
        <v>2019</v>
      </c>
      <c r="C249" s="2" t="s">
        <v>45</v>
      </c>
      <c r="D249" s="2">
        <v>144.9</v>
      </c>
      <c r="E249" s="2">
        <v>164.5</v>
      </c>
      <c r="F249" s="2">
        <v>153.69999999999999</v>
      </c>
      <c r="G249" s="2">
        <v>147.5</v>
      </c>
      <c r="H249" s="2">
        <v>122.7</v>
      </c>
      <c r="I249" s="2">
        <v>147.19999999999999</v>
      </c>
      <c r="J249" s="2">
        <v>231.5</v>
      </c>
      <c r="K249" s="2">
        <v>137.19999999999999</v>
      </c>
      <c r="L249" s="2">
        <v>114.7</v>
      </c>
      <c r="M249" s="2">
        <v>148</v>
      </c>
      <c r="N249" s="2">
        <v>130.80000000000001</v>
      </c>
      <c r="O249" s="2">
        <v>157.69999999999999</v>
      </c>
      <c r="P249" s="2">
        <v>156.30000000000001</v>
      </c>
      <c r="Q249" s="2">
        <v>170.4</v>
      </c>
      <c r="R249" s="2">
        <v>146.80000000000001</v>
      </c>
      <c r="S249" s="2">
        <v>132.80000000000001</v>
      </c>
      <c r="T249" s="2">
        <v>144.6</v>
      </c>
      <c r="U249" s="2">
        <v>152.80000000000001</v>
      </c>
      <c r="V249" s="2">
        <v>133.6</v>
      </c>
      <c r="W249" s="2">
        <v>139.80000000000001</v>
      </c>
      <c r="X249" s="2">
        <v>143.19999999999999</v>
      </c>
      <c r="Y249" s="2">
        <v>125.2</v>
      </c>
      <c r="Z249" s="2">
        <v>136.80000000000001</v>
      </c>
      <c r="AA249" s="2">
        <v>151.9</v>
      </c>
      <c r="AB249" s="2">
        <v>140.19999999999999</v>
      </c>
      <c r="AC249" s="2">
        <v>137.69999999999999</v>
      </c>
      <c r="AD249" s="2">
        <v>148.30000000000001</v>
      </c>
    </row>
    <row r="250" spans="1:30" ht="14.4" x14ac:dyDescent="0.3">
      <c r="A250" s="2" t="s">
        <v>34</v>
      </c>
      <c r="B250" s="2">
        <v>2019</v>
      </c>
      <c r="C250" s="2" t="s">
        <v>45</v>
      </c>
      <c r="D250" s="2">
        <v>143.5</v>
      </c>
      <c r="E250" s="2">
        <v>165</v>
      </c>
      <c r="F250" s="2">
        <v>151.1</v>
      </c>
      <c r="G250" s="2">
        <v>148.30000000000001</v>
      </c>
      <c r="H250" s="2">
        <v>125.7</v>
      </c>
      <c r="I250" s="2">
        <v>145.69999999999999</v>
      </c>
      <c r="J250" s="2">
        <v>217</v>
      </c>
      <c r="K250" s="2">
        <v>138.30000000000001</v>
      </c>
      <c r="L250" s="2">
        <v>114</v>
      </c>
      <c r="M250" s="2">
        <v>148.69999999999999</v>
      </c>
      <c r="N250" s="2">
        <v>135.80000000000001</v>
      </c>
      <c r="O250" s="2">
        <v>158</v>
      </c>
      <c r="P250" s="2">
        <v>155</v>
      </c>
      <c r="Q250" s="2">
        <v>168.5</v>
      </c>
      <c r="R250" s="2">
        <v>150.30000000000001</v>
      </c>
      <c r="S250" s="2">
        <v>141.30000000000001</v>
      </c>
      <c r="T250" s="2">
        <v>149</v>
      </c>
      <c r="U250" s="2">
        <v>152.80000000000001</v>
      </c>
      <c r="V250" s="2">
        <v>143.69999999999999</v>
      </c>
      <c r="W250" s="2">
        <v>145.80000000000001</v>
      </c>
      <c r="X250" s="2">
        <v>150.4</v>
      </c>
      <c r="Y250" s="2">
        <v>129.80000000000001</v>
      </c>
      <c r="Z250" s="2">
        <v>142.30000000000001</v>
      </c>
      <c r="AA250" s="2">
        <v>155.69999999999999</v>
      </c>
      <c r="AB250" s="2">
        <v>140.4</v>
      </c>
      <c r="AC250" s="2">
        <v>142.5</v>
      </c>
      <c r="AD250" s="2">
        <v>150.4</v>
      </c>
    </row>
    <row r="251" spans="1:30" ht="14.4" x14ac:dyDescent="0.3">
      <c r="A251" s="2" t="s">
        <v>30</v>
      </c>
      <c r="B251" s="2">
        <v>2020</v>
      </c>
      <c r="C251" s="2" t="s">
        <v>31</v>
      </c>
      <c r="D251" s="2">
        <v>143.69999999999999</v>
      </c>
      <c r="E251" s="2">
        <v>167.3</v>
      </c>
      <c r="F251" s="2">
        <v>153.5</v>
      </c>
      <c r="G251" s="2">
        <v>150.5</v>
      </c>
      <c r="H251" s="2">
        <v>132</v>
      </c>
      <c r="I251" s="2">
        <v>142.19999999999999</v>
      </c>
      <c r="J251" s="2">
        <v>191.5</v>
      </c>
      <c r="K251" s="2">
        <v>141.1</v>
      </c>
      <c r="L251" s="2">
        <v>113.8</v>
      </c>
      <c r="M251" s="2">
        <v>151.6</v>
      </c>
      <c r="N251" s="2">
        <v>139.69999999999999</v>
      </c>
      <c r="O251" s="2">
        <v>158.69999999999999</v>
      </c>
      <c r="P251" s="2">
        <v>153</v>
      </c>
      <c r="Q251" s="2">
        <v>168.6</v>
      </c>
      <c r="R251" s="2">
        <v>152.80000000000001</v>
      </c>
      <c r="S251" s="2">
        <v>147.4</v>
      </c>
      <c r="T251" s="2">
        <v>152.1</v>
      </c>
      <c r="U251" s="2" t="s">
        <v>32</v>
      </c>
      <c r="V251" s="2">
        <v>150.4</v>
      </c>
      <c r="W251" s="2">
        <v>151.69999999999999</v>
      </c>
      <c r="X251" s="2">
        <v>155.69999999999999</v>
      </c>
      <c r="Y251" s="2">
        <v>136.30000000000001</v>
      </c>
      <c r="Z251" s="2">
        <v>150.1</v>
      </c>
      <c r="AA251" s="2">
        <v>161.69999999999999</v>
      </c>
      <c r="AB251" s="2">
        <v>142.5</v>
      </c>
      <c r="AC251" s="2">
        <v>148.1</v>
      </c>
      <c r="AD251" s="2">
        <v>151.9</v>
      </c>
    </row>
    <row r="252" spans="1:30" ht="14.4" x14ac:dyDescent="0.3">
      <c r="A252" s="2" t="s">
        <v>33</v>
      </c>
      <c r="B252" s="2">
        <v>2020</v>
      </c>
      <c r="C252" s="2" t="s">
        <v>31</v>
      </c>
      <c r="D252" s="2">
        <v>145.6</v>
      </c>
      <c r="E252" s="2">
        <v>167.6</v>
      </c>
      <c r="F252" s="2">
        <v>157</v>
      </c>
      <c r="G252" s="2">
        <v>149.30000000000001</v>
      </c>
      <c r="H252" s="2">
        <v>126.3</v>
      </c>
      <c r="I252" s="2">
        <v>144.4</v>
      </c>
      <c r="J252" s="2">
        <v>207.8</v>
      </c>
      <c r="K252" s="2">
        <v>139.1</v>
      </c>
      <c r="L252" s="2">
        <v>114.8</v>
      </c>
      <c r="M252" s="2">
        <v>149.5</v>
      </c>
      <c r="N252" s="2">
        <v>131.1</v>
      </c>
      <c r="O252" s="2">
        <v>158.5</v>
      </c>
      <c r="P252" s="2">
        <v>154.4</v>
      </c>
      <c r="Q252" s="2">
        <v>170.8</v>
      </c>
      <c r="R252" s="2">
        <v>147</v>
      </c>
      <c r="S252" s="2">
        <v>133.19999999999999</v>
      </c>
      <c r="T252" s="2">
        <v>144.9</v>
      </c>
      <c r="U252" s="2">
        <v>153.9</v>
      </c>
      <c r="V252" s="2">
        <v>135.1</v>
      </c>
      <c r="W252" s="2">
        <v>140.1</v>
      </c>
      <c r="X252" s="2">
        <v>143.80000000000001</v>
      </c>
      <c r="Y252" s="2">
        <v>126.1</v>
      </c>
      <c r="Z252" s="2">
        <v>137.19999999999999</v>
      </c>
      <c r="AA252" s="2">
        <v>152.1</v>
      </c>
      <c r="AB252" s="2">
        <v>142.1</v>
      </c>
      <c r="AC252" s="2">
        <v>138.4</v>
      </c>
      <c r="AD252" s="2">
        <v>148.19999999999999</v>
      </c>
    </row>
    <row r="253" spans="1:30" ht="14.4" x14ac:dyDescent="0.3">
      <c r="A253" s="2" t="s">
        <v>34</v>
      </c>
      <c r="B253" s="2">
        <v>2020</v>
      </c>
      <c r="C253" s="2" t="s">
        <v>31</v>
      </c>
      <c r="D253" s="2">
        <v>144.30000000000001</v>
      </c>
      <c r="E253" s="2">
        <v>167.4</v>
      </c>
      <c r="F253" s="2">
        <v>154.9</v>
      </c>
      <c r="G253" s="2">
        <v>150.1</v>
      </c>
      <c r="H253" s="2">
        <v>129.9</v>
      </c>
      <c r="I253" s="2">
        <v>143.19999999999999</v>
      </c>
      <c r="J253" s="2">
        <v>197</v>
      </c>
      <c r="K253" s="2">
        <v>140.4</v>
      </c>
      <c r="L253" s="2">
        <v>114.1</v>
      </c>
      <c r="M253" s="2">
        <v>150.9</v>
      </c>
      <c r="N253" s="2">
        <v>136.1</v>
      </c>
      <c r="O253" s="2">
        <v>158.6</v>
      </c>
      <c r="P253" s="2">
        <v>153.5</v>
      </c>
      <c r="Q253" s="2">
        <v>169.2</v>
      </c>
      <c r="R253" s="2">
        <v>150.5</v>
      </c>
      <c r="S253" s="2">
        <v>141.5</v>
      </c>
      <c r="T253" s="2">
        <v>149.19999999999999</v>
      </c>
      <c r="U253" s="2">
        <v>153.9</v>
      </c>
      <c r="V253" s="2">
        <v>144.6</v>
      </c>
      <c r="W253" s="2">
        <v>146.19999999999999</v>
      </c>
      <c r="X253" s="2">
        <v>151.19999999999999</v>
      </c>
      <c r="Y253" s="2">
        <v>130.9</v>
      </c>
      <c r="Z253" s="2">
        <v>142.80000000000001</v>
      </c>
      <c r="AA253" s="2">
        <v>156.1</v>
      </c>
      <c r="AB253" s="2">
        <v>142.30000000000001</v>
      </c>
      <c r="AC253" s="2">
        <v>143.4</v>
      </c>
      <c r="AD253" s="2">
        <v>150.19999999999999</v>
      </c>
    </row>
    <row r="254" spans="1:30" ht="14.4" x14ac:dyDescent="0.3">
      <c r="A254" s="2" t="s">
        <v>30</v>
      </c>
      <c r="B254" s="2">
        <v>2020</v>
      </c>
      <c r="C254" s="2" t="s">
        <v>35</v>
      </c>
      <c r="D254" s="2">
        <v>144.19999999999999</v>
      </c>
      <c r="E254" s="2">
        <v>167.5</v>
      </c>
      <c r="F254" s="2">
        <v>150.9</v>
      </c>
      <c r="G254" s="2">
        <v>150.9</v>
      </c>
      <c r="H254" s="2">
        <v>133.69999999999999</v>
      </c>
      <c r="I254" s="2">
        <v>140.69999999999999</v>
      </c>
      <c r="J254" s="2">
        <v>165.1</v>
      </c>
      <c r="K254" s="2">
        <v>141.80000000000001</v>
      </c>
      <c r="L254" s="2">
        <v>113.1</v>
      </c>
      <c r="M254" s="2">
        <v>152.80000000000001</v>
      </c>
      <c r="N254" s="2">
        <v>140.1</v>
      </c>
      <c r="O254" s="2">
        <v>159.19999999999999</v>
      </c>
      <c r="P254" s="2">
        <v>149.80000000000001</v>
      </c>
      <c r="Q254" s="2">
        <v>169.4</v>
      </c>
      <c r="R254" s="2">
        <v>153</v>
      </c>
      <c r="S254" s="2">
        <v>147.5</v>
      </c>
      <c r="T254" s="2">
        <v>152.30000000000001</v>
      </c>
      <c r="U254" s="2" t="s">
        <v>32</v>
      </c>
      <c r="V254" s="2">
        <v>152.30000000000001</v>
      </c>
      <c r="W254" s="2">
        <v>151.80000000000001</v>
      </c>
      <c r="X254" s="2">
        <v>156.19999999999999</v>
      </c>
      <c r="Y254" s="2">
        <v>136</v>
      </c>
      <c r="Z254" s="2">
        <v>150.4</v>
      </c>
      <c r="AA254" s="2">
        <v>161.9</v>
      </c>
      <c r="AB254" s="2">
        <v>143.4</v>
      </c>
      <c r="AC254" s="2">
        <v>148.4</v>
      </c>
      <c r="AD254" s="2">
        <v>150.4</v>
      </c>
    </row>
    <row r="255" spans="1:30" ht="14.4" x14ac:dyDescent="0.3">
      <c r="A255" s="2" t="s">
        <v>33</v>
      </c>
      <c r="B255" s="2">
        <v>2020</v>
      </c>
      <c r="C255" s="2" t="s">
        <v>35</v>
      </c>
      <c r="D255" s="2">
        <v>146.19999999999999</v>
      </c>
      <c r="E255" s="2">
        <v>167.6</v>
      </c>
      <c r="F255" s="2">
        <v>153.1</v>
      </c>
      <c r="G255" s="2">
        <v>150.69999999999999</v>
      </c>
      <c r="H255" s="2">
        <v>127.4</v>
      </c>
      <c r="I255" s="2">
        <v>143.1</v>
      </c>
      <c r="J255" s="2">
        <v>181.7</v>
      </c>
      <c r="K255" s="2">
        <v>139.6</v>
      </c>
      <c r="L255" s="2">
        <v>114.6</v>
      </c>
      <c r="M255" s="2">
        <v>150.4</v>
      </c>
      <c r="N255" s="2">
        <v>131.5</v>
      </c>
      <c r="O255" s="2">
        <v>159</v>
      </c>
      <c r="P255" s="2">
        <v>151.69999999999999</v>
      </c>
      <c r="Q255" s="2">
        <v>172</v>
      </c>
      <c r="R255" s="2">
        <v>147.30000000000001</v>
      </c>
      <c r="S255" s="2">
        <v>133.5</v>
      </c>
      <c r="T255" s="2">
        <v>145.19999999999999</v>
      </c>
      <c r="U255" s="2">
        <v>154.80000000000001</v>
      </c>
      <c r="V255" s="2">
        <v>138.9</v>
      </c>
      <c r="W255" s="2">
        <v>140.4</v>
      </c>
      <c r="X255" s="2">
        <v>144.4</v>
      </c>
      <c r="Y255" s="2">
        <v>125.2</v>
      </c>
      <c r="Z255" s="2">
        <v>137.69999999999999</v>
      </c>
      <c r="AA255" s="2">
        <v>152.19999999999999</v>
      </c>
      <c r="AB255" s="2">
        <v>143.5</v>
      </c>
      <c r="AC255" s="2">
        <v>138.4</v>
      </c>
      <c r="AD255" s="2">
        <v>147.69999999999999</v>
      </c>
    </row>
    <row r="256" spans="1:30" ht="14.4" x14ac:dyDescent="0.3">
      <c r="A256" s="2" t="s">
        <v>34</v>
      </c>
      <c r="B256" s="2">
        <v>2020</v>
      </c>
      <c r="C256" s="2" t="s">
        <v>35</v>
      </c>
      <c r="D256" s="2">
        <v>144.80000000000001</v>
      </c>
      <c r="E256" s="2">
        <v>167.5</v>
      </c>
      <c r="F256" s="2">
        <v>151.80000000000001</v>
      </c>
      <c r="G256" s="2">
        <v>150.80000000000001</v>
      </c>
      <c r="H256" s="2">
        <v>131.4</v>
      </c>
      <c r="I256" s="2">
        <v>141.80000000000001</v>
      </c>
      <c r="J256" s="2">
        <v>170.7</v>
      </c>
      <c r="K256" s="2">
        <v>141.1</v>
      </c>
      <c r="L256" s="2">
        <v>113.6</v>
      </c>
      <c r="M256" s="2">
        <v>152</v>
      </c>
      <c r="N256" s="2">
        <v>136.5</v>
      </c>
      <c r="O256" s="2">
        <v>159.1</v>
      </c>
      <c r="P256" s="2">
        <v>150.5</v>
      </c>
      <c r="Q256" s="2">
        <v>170.1</v>
      </c>
      <c r="R256" s="2">
        <v>150.80000000000001</v>
      </c>
      <c r="S256" s="2">
        <v>141.69999999999999</v>
      </c>
      <c r="T256" s="2">
        <v>149.5</v>
      </c>
      <c r="U256" s="2">
        <v>154.80000000000001</v>
      </c>
      <c r="V256" s="2">
        <v>147.19999999999999</v>
      </c>
      <c r="W256" s="2">
        <v>146.4</v>
      </c>
      <c r="X256" s="2">
        <v>151.69999999999999</v>
      </c>
      <c r="Y256" s="2">
        <v>130.30000000000001</v>
      </c>
      <c r="Z256" s="2">
        <v>143.19999999999999</v>
      </c>
      <c r="AA256" s="2">
        <v>156.19999999999999</v>
      </c>
      <c r="AB256" s="2">
        <v>143.4</v>
      </c>
      <c r="AC256" s="2">
        <v>143.6</v>
      </c>
      <c r="AD256" s="2">
        <v>149.1</v>
      </c>
    </row>
    <row r="257" spans="1:30" ht="14.4" x14ac:dyDescent="0.3">
      <c r="A257" s="2" t="s">
        <v>30</v>
      </c>
      <c r="B257" s="2">
        <v>2020</v>
      </c>
      <c r="C257" s="2" t="s">
        <v>36</v>
      </c>
      <c r="D257" s="2">
        <v>144.4</v>
      </c>
      <c r="E257" s="2">
        <v>166.8</v>
      </c>
      <c r="F257" s="2">
        <v>147.6</v>
      </c>
      <c r="G257" s="2">
        <v>151.69999999999999</v>
      </c>
      <c r="H257" s="2">
        <v>133.30000000000001</v>
      </c>
      <c r="I257" s="2">
        <v>141.80000000000001</v>
      </c>
      <c r="J257" s="2">
        <v>152.30000000000001</v>
      </c>
      <c r="K257" s="2">
        <v>141.80000000000001</v>
      </c>
      <c r="L257" s="2">
        <v>112.6</v>
      </c>
      <c r="M257" s="2">
        <v>154</v>
      </c>
      <c r="N257" s="2">
        <v>140.1</v>
      </c>
      <c r="O257" s="2">
        <v>160</v>
      </c>
      <c r="P257" s="2">
        <v>148.19999999999999</v>
      </c>
      <c r="Q257" s="2">
        <v>170.5</v>
      </c>
      <c r="R257" s="2">
        <v>153.4</v>
      </c>
      <c r="S257" s="2">
        <v>147.6</v>
      </c>
      <c r="T257" s="2">
        <v>152.5</v>
      </c>
      <c r="U257" s="2" t="s">
        <v>32</v>
      </c>
      <c r="V257" s="2">
        <v>153.4</v>
      </c>
      <c r="W257" s="2">
        <v>151.5</v>
      </c>
      <c r="X257" s="2">
        <v>156.69999999999999</v>
      </c>
      <c r="Y257" s="2">
        <v>135.80000000000001</v>
      </c>
      <c r="Z257" s="2">
        <v>151.19999999999999</v>
      </c>
      <c r="AA257" s="2">
        <v>161.19999999999999</v>
      </c>
      <c r="AB257" s="2">
        <v>145.1</v>
      </c>
      <c r="AC257" s="2">
        <v>148.6</v>
      </c>
      <c r="AD257" s="2">
        <v>149.80000000000001</v>
      </c>
    </row>
    <row r="258" spans="1:30" ht="14.4" x14ac:dyDescent="0.3">
      <c r="A258" s="2" t="s">
        <v>33</v>
      </c>
      <c r="B258" s="2">
        <v>2020</v>
      </c>
      <c r="C258" s="2" t="s">
        <v>36</v>
      </c>
      <c r="D258" s="2">
        <v>146.5</v>
      </c>
      <c r="E258" s="2">
        <v>167.5</v>
      </c>
      <c r="F258" s="2">
        <v>148.9</v>
      </c>
      <c r="G258" s="2">
        <v>151.1</v>
      </c>
      <c r="H258" s="2">
        <v>127.5</v>
      </c>
      <c r="I258" s="2">
        <v>143.30000000000001</v>
      </c>
      <c r="J258" s="2">
        <v>167</v>
      </c>
      <c r="K258" s="2">
        <v>139.69999999999999</v>
      </c>
      <c r="L258" s="2">
        <v>114.4</v>
      </c>
      <c r="M258" s="2">
        <v>151.5</v>
      </c>
      <c r="N258" s="2">
        <v>131.9</v>
      </c>
      <c r="O258" s="2">
        <v>159.1</v>
      </c>
      <c r="P258" s="2">
        <v>150.1</v>
      </c>
      <c r="Q258" s="2">
        <v>173.3</v>
      </c>
      <c r="R258" s="2">
        <v>147.69999999999999</v>
      </c>
      <c r="S258" s="2">
        <v>133.80000000000001</v>
      </c>
      <c r="T258" s="2">
        <v>145.6</v>
      </c>
      <c r="U258" s="2">
        <v>154.5</v>
      </c>
      <c r="V258" s="2">
        <v>141.4</v>
      </c>
      <c r="W258" s="2">
        <v>140.80000000000001</v>
      </c>
      <c r="X258" s="2">
        <v>145</v>
      </c>
      <c r="Y258" s="2">
        <v>124.6</v>
      </c>
      <c r="Z258" s="2">
        <v>137.9</v>
      </c>
      <c r="AA258" s="2">
        <v>152.5</v>
      </c>
      <c r="AB258" s="2">
        <v>145.30000000000001</v>
      </c>
      <c r="AC258" s="2">
        <v>138.69999999999999</v>
      </c>
      <c r="AD258" s="2">
        <v>147.30000000000001</v>
      </c>
    </row>
    <row r="259" spans="1:30" ht="14.4" x14ac:dyDescent="0.3">
      <c r="A259" s="2" t="s">
        <v>34</v>
      </c>
      <c r="B259" s="2">
        <v>2020</v>
      </c>
      <c r="C259" s="2" t="s">
        <v>36</v>
      </c>
      <c r="D259" s="2">
        <v>145.1</v>
      </c>
      <c r="E259" s="2">
        <v>167</v>
      </c>
      <c r="F259" s="2">
        <v>148.1</v>
      </c>
      <c r="G259" s="2">
        <v>151.5</v>
      </c>
      <c r="H259" s="2">
        <v>131.19999999999999</v>
      </c>
      <c r="I259" s="2">
        <v>142.5</v>
      </c>
      <c r="J259" s="2">
        <v>157.30000000000001</v>
      </c>
      <c r="K259" s="2">
        <v>141.1</v>
      </c>
      <c r="L259" s="2">
        <v>113.2</v>
      </c>
      <c r="M259" s="2">
        <v>153.19999999999999</v>
      </c>
      <c r="N259" s="2">
        <v>136.69999999999999</v>
      </c>
      <c r="O259" s="2">
        <v>159.6</v>
      </c>
      <c r="P259" s="2">
        <v>148.9</v>
      </c>
      <c r="Q259" s="2">
        <v>171.2</v>
      </c>
      <c r="R259" s="2">
        <v>151.19999999999999</v>
      </c>
      <c r="S259" s="2">
        <v>141.9</v>
      </c>
      <c r="T259" s="2">
        <v>149.80000000000001</v>
      </c>
      <c r="U259" s="2">
        <v>154.5</v>
      </c>
      <c r="V259" s="2">
        <v>148.9</v>
      </c>
      <c r="W259" s="2">
        <v>146.4</v>
      </c>
      <c r="X259" s="2">
        <v>152.30000000000001</v>
      </c>
      <c r="Y259" s="2">
        <v>129.9</v>
      </c>
      <c r="Z259" s="2">
        <v>143.69999999999999</v>
      </c>
      <c r="AA259" s="2">
        <v>156.1</v>
      </c>
      <c r="AB259" s="2">
        <v>145.19999999999999</v>
      </c>
      <c r="AC259" s="2">
        <v>143.80000000000001</v>
      </c>
      <c r="AD259" s="2">
        <v>148.6</v>
      </c>
    </row>
    <row r="260" spans="1:30" ht="14.4" x14ac:dyDescent="0.3">
      <c r="A260" s="2" t="s">
        <v>30</v>
      </c>
      <c r="B260" s="2">
        <v>2020</v>
      </c>
      <c r="C260" s="2" t="s">
        <v>37</v>
      </c>
      <c r="D260" s="2">
        <v>147.19999999999999</v>
      </c>
      <c r="E260" s="2" t="s">
        <v>32</v>
      </c>
      <c r="F260" s="2">
        <v>146.9</v>
      </c>
      <c r="G260" s="2">
        <v>155.6</v>
      </c>
      <c r="H260" s="2">
        <v>137.1</v>
      </c>
      <c r="I260" s="2">
        <v>147.30000000000001</v>
      </c>
      <c r="J260" s="2">
        <v>162.69999999999999</v>
      </c>
      <c r="K260" s="2">
        <v>150.19999999999999</v>
      </c>
      <c r="L260" s="2">
        <v>119.8</v>
      </c>
      <c r="M260" s="2">
        <v>158.69999999999999</v>
      </c>
      <c r="N260" s="2">
        <v>139.19999999999999</v>
      </c>
      <c r="O260" s="2" t="s">
        <v>32</v>
      </c>
      <c r="P260" s="2">
        <v>150.1</v>
      </c>
      <c r="Q260" s="2" t="s">
        <v>32</v>
      </c>
      <c r="R260" s="2" t="s">
        <v>32</v>
      </c>
      <c r="S260" s="2" t="s">
        <v>32</v>
      </c>
      <c r="T260" s="2" t="s">
        <v>32</v>
      </c>
      <c r="U260" s="2" t="s">
        <v>32</v>
      </c>
      <c r="V260" s="2">
        <v>148.4</v>
      </c>
      <c r="W260" s="2" t="s">
        <v>32</v>
      </c>
      <c r="X260" s="2">
        <v>154.30000000000001</v>
      </c>
      <c r="Y260" s="2" t="s">
        <v>32</v>
      </c>
      <c r="Z260" s="2" t="s">
        <v>32</v>
      </c>
      <c r="AA260" s="2" t="s">
        <v>32</v>
      </c>
      <c r="AB260" s="2" t="s">
        <v>32</v>
      </c>
      <c r="AC260" s="2" t="s">
        <v>32</v>
      </c>
      <c r="AD260" s="2" t="s">
        <v>32</v>
      </c>
    </row>
    <row r="261" spans="1:30" ht="14.4" x14ac:dyDescent="0.3">
      <c r="A261" s="2" t="s">
        <v>33</v>
      </c>
      <c r="B261" s="2">
        <v>2020</v>
      </c>
      <c r="C261" s="2" t="s">
        <v>37</v>
      </c>
      <c r="D261" s="2">
        <v>151.80000000000001</v>
      </c>
      <c r="E261" s="2" t="s">
        <v>32</v>
      </c>
      <c r="F261" s="2">
        <v>151.9</v>
      </c>
      <c r="G261" s="2">
        <v>155.5</v>
      </c>
      <c r="H261" s="2">
        <v>131.6</v>
      </c>
      <c r="I261" s="2">
        <v>152.9</v>
      </c>
      <c r="J261" s="2">
        <v>180</v>
      </c>
      <c r="K261" s="2">
        <v>150.80000000000001</v>
      </c>
      <c r="L261" s="2">
        <v>121.2</v>
      </c>
      <c r="M261" s="2">
        <v>154</v>
      </c>
      <c r="N261" s="2">
        <v>133.5</v>
      </c>
      <c r="O261" s="2" t="s">
        <v>32</v>
      </c>
      <c r="P261" s="2">
        <v>153.5</v>
      </c>
      <c r="Q261" s="2" t="s">
        <v>32</v>
      </c>
      <c r="R261" s="2" t="s">
        <v>32</v>
      </c>
      <c r="S261" s="2" t="s">
        <v>32</v>
      </c>
      <c r="T261" s="2" t="s">
        <v>32</v>
      </c>
      <c r="U261" s="2">
        <v>155.6</v>
      </c>
      <c r="V261" s="2">
        <v>137.1</v>
      </c>
      <c r="W261" s="2" t="s">
        <v>32</v>
      </c>
      <c r="X261" s="2">
        <v>144.80000000000001</v>
      </c>
      <c r="Y261" s="2" t="s">
        <v>32</v>
      </c>
      <c r="Z261" s="2" t="s">
        <v>32</v>
      </c>
      <c r="AA261" s="2" t="s">
        <v>32</v>
      </c>
      <c r="AB261" s="2" t="s">
        <v>32</v>
      </c>
      <c r="AC261" s="2" t="s">
        <v>32</v>
      </c>
      <c r="AD261" s="2" t="s">
        <v>32</v>
      </c>
    </row>
    <row r="262" spans="1:30" ht="14.4" x14ac:dyDescent="0.3">
      <c r="A262" s="2" t="s">
        <v>34</v>
      </c>
      <c r="B262" s="2">
        <v>2020</v>
      </c>
      <c r="C262" s="2" t="s">
        <v>37</v>
      </c>
      <c r="D262" s="2">
        <v>148.69999999999999</v>
      </c>
      <c r="E262" s="2" t="s">
        <v>32</v>
      </c>
      <c r="F262" s="2">
        <v>148.80000000000001</v>
      </c>
      <c r="G262" s="2">
        <v>155.6</v>
      </c>
      <c r="H262" s="2">
        <v>135.1</v>
      </c>
      <c r="I262" s="2">
        <v>149.9</v>
      </c>
      <c r="J262" s="2">
        <v>168.6</v>
      </c>
      <c r="K262" s="2">
        <v>150.4</v>
      </c>
      <c r="L262" s="2">
        <v>120.3</v>
      </c>
      <c r="M262" s="2">
        <v>157.1</v>
      </c>
      <c r="N262" s="2">
        <v>136.80000000000001</v>
      </c>
      <c r="O262" s="2" t="s">
        <v>32</v>
      </c>
      <c r="P262" s="2">
        <v>151.4</v>
      </c>
      <c r="Q262" s="2" t="s">
        <v>32</v>
      </c>
      <c r="R262" s="2" t="s">
        <v>32</v>
      </c>
      <c r="S262" s="2" t="s">
        <v>32</v>
      </c>
      <c r="T262" s="2" t="s">
        <v>32</v>
      </c>
      <c r="U262" s="2">
        <v>155.6</v>
      </c>
      <c r="V262" s="2">
        <v>144.1</v>
      </c>
      <c r="W262" s="2" t="s">
        <v>32</v>
      </c>
      <c r="X262" s="2">
        <v>150.69999999999999</v>
      </c>
      <c r="Y262" s="2" t="s">
        <v>32</v>
      </c>
      <c r="Z262" s="2" t="s">
        <v>32</v>
      </c>
      <c r="AA262" s="2" t="s">
        <v>32</v>
      </c>
      <c r="AB262" s="2" t="s">
        <v>32</v>
      </c>
      <c r="AC262" s="2" t="s">
        <v>32</v>
      </c>
      <c r="AD262" s="2" t="s">
        <v>32</v>
      </c>
    </row>
    <row r="263" spans="1:30" ht="14.4" x14ac:dyDescent="0.3">
      <c r="A263" s="2" t="s">
        <v>30</v>
      </c>
      <c r="B263" s="2">
        <v>2020</v>
      </c>
      <c r="C263" s="2" t="s">
        <v>38</v>
      </c>
      <c r="D263" s="2" t="s">
        <v>32</v>
      </c>
      <c r="E263" s="2" t="s">
        <v>32</v>
      </c>
      <c r="F263" s="2" t="s">
        <v>32</v>
      </c>
      <c r="G263" s="2" t="s">
        <v>32</v>
      </c>
      <c r="H263" s="2" t="s">
        <v>32</v>
      </c>
      <c r="I263" s="2" t="s">
        <v>32</v>
      </c>
      <c r="J263" s="2" t="s">
        <v>32</v>
      </c>
      <c r="K263" s="2" t="s">
        <v>32</v>
      </c>
      <c r="L263" s="2" t="s">
        <v>32</v>
      </c>
      <c r="M263" s="2" t="s">
        <v>32</v>
      </c>
      <c r="N263" s="2" t="s">
        <v>32</v>
      </c>
      <c r="O263" s="2" t="s">
        <v>32</v>
      </c>
      <c r="P263" s="2" t="s">
        <v>32</v>
      </c>
      <c r="Q263" s="2" t="s">
        <v>32</v>
      </c>
      <c r="R263" s="2" t="s">
        <v>32</v>
      </c>
      <c r="S263" s="2" t="s">
        <v>32</v>
      </c>
      <c r="T263" s="2" t="s">
        <v>32</v>
      </c>
      <c r="U263" s="2" t="s">
        <v>32</v>
      </c>
      <c r="V263" s="2" t="s">
        <v>32</v>
      </c>
      <c r="W263" s="2" t="s">
        <v>32</v>
      </c>
      <c r="X263" s="2" t="s">
        <v>32</v>
      </c>
      <c r="Y263" s="2" t="s">
        <v>32</v>
      </c>
      <c r="Z263" s="2" t="s">
        <v>32</v>
      </c>
      <c r="AA263" s="2" t="s">
        <v>32</v>
      </c>
      <c r="AB263" s="2" t="s">
        <v>32</v>
      </c>
      <c r="AC263" s="2" t="s">
        <v>32</v>
      </c>
      <c r="AD263" s="2" t="s">
        <v>32</v>
      </c>
    </row>
    <row r="264" spans="1:30" ht="14.4" x14ac:dyDescent="0.3">
      <c r="A264" s="2" t="s">
        <v>33</v>
      </c>
      <c r="B264" s="2">
        <v>2020</v>
      </c>
      <c r="C264" s="2" t="s">
        <v>38</v>
      </c>
      <c r="D264" s="2" t="s">
        <v>32</v>
      </c>
      <c r="E264" s="2" t="s">
        <v>32</v>
      </c>
      <c r="F264" s="2" t="s">
        <v>32</v>
      </c>
      <c r="G264" s="2" t="s">
        <v>32</v>
      </c>
      <c r="H264" s="2" t="s">
        <v>32</v>
      </c>
      <c r="I264" s="2" t="s">
        <v>32</v>
      </c>
      <c r="J264" s="2" t="s">
        <v>32</v>
      </c>
      <c r="K264" s="2" t="s">
        <v>32</v>
      </c>
      <c r="L264" s="2" t="s">
        <v>32</v>
      </c>
      <c r="M264" s="2" t="s">
        <v>32</v>
      </c>
      <c r="N264" s="2" t="s">
        <v>32</v>
      </c>
      <c r="O264" s="2" t="s">
        <v>32</v>
      </c>
      <c r="P264" s="2" t="s">
        <v>32</v>
      </c>
      <c r="Q264" s="2" t="s">
        <v>32</v>
      </c>
      <c r="R264" s="2" t="s">
        <v>32</v>
      </c>
      <c r="S264" s="2" t="s">
        <v>32</v>
      </c>
      <c r="T264" s="2" t="s">
        <v>32</v>
      </c>
      <c r="U264" s="2" t="s">
        <v>32</v>
      </c>
      <c r="V264" s="2" t="s">
        <v>32</v>
      </c>
      <c r="W264" s="2" t="s">
        <v>32</v>
      </c>
      <c r="X264" s="2" t="s">
        <v>32</v>
      </c>
      <c r="Y264" s="2" t="s">
        <v>32</v>
      </c>
      <c r="Z264" s="2" t="s">
        <v>32</v>
      </c>
      <c r="AA264" s="2" t="s">
        <v>32</v>
      </c>
      <c r="AB264" s="2" t="s">
        <v>32</v>
      </c>
      <c r="AC264" s="2" t="s">
        <v>32</v>
      </c>
      <c r="AD264" s="2" t="s">
        <v>32</v>
      </c>
    </row>
    <row r="265" spans="1:30" ht="14.4" x14ac:dyDescent="0.3">
      <c r="A265" s="2" t="s">
        <v>34</v>
      </c>
      <c r="B265" s="2">
        <v>2020</v>
      </c>
      <c r="C265" s="2" t="s">
        <v>38</v>
      </c>
      <c r="D265" s="2" t="s">
        <v>32</v>
      </c>
      <c r="E265" s="2" t="s">
        <v>32</v>
      </c>
      <c r="F265" s="2" t="s">
        <v>32</v>
      </c>
      <c r="G265" s="2" t="s">
        <v>32</v>
      </c>
      <c r="H265" s="2" t="s">
        <v>32</v>
      </c>
      <c r="I265" s="2" t="s">
        <v>32</v>
      </c>
      <c r="J265" s="2" t="s">
        <v>32</v>
      </c>
      <c r="K265" s="2" t="s">
        <v>32</v>
      </c>
      <c r="L265" s="2" t="s">
        <v>32</v>
      </c>
      <c r="M265" s="2" t="s">
        <v>32</v>
      </c>
      <c r="N265" s="2" t="s">
        <v>32</v>
      </c>
      <c r="O265" s="2" t="s">
        <v>32</v>
      </c>
      <c r="P265" s="2" t="s">
        <v>32</v>
      </c>
      <c r="Q265" s="2" t="s">
        <v>32</v>
      </c>
      <c r="R265" s="2" t="s">
        <v>32</v>
      </c>
      <c r="S265" s="2" t="s">
        <v>32</v>
      </c>
      <c r="T265" s="2" t="s">
        <v>32</v>
      </c>
      <c r="U265" s="2" t="s">
        <v>32</v>
      </c>
      <c r="V265" s="2" t="s">
        <v>32</v>
      </c>
      <c r="W265" s="2" t="s">
        <v>32</v>
      </c>
      <c r="X265" s="2" t="s">
        <v>32</v>
      </c>
      <c r="Y265" s="2" t="s">
        <v>32</v>
      </c>
      <c r="Z265" s="2" t="s">
        <v>32</v>
      </c>
      <c r="AA265" s="2" t="s">
        <v>32</v>
      </c>
      <c r="AB265" s="2" t="s">
        <v>32</v>
      </c>
      <c r="AC265" s="2" t="s">
        <v>32</v>
      </c>
      <c r="AD265" s="2" t="s">
        <v>32</v>
      </c>
    </row>
    <row r="266" spans="1:30" ht="14.4" x14ac:dyDescent="0.3">
      <c r="A266" s="2" t="s">
        <v>30</v>
      </c>
      <c r="B266" s="2">
        <v>2020</v>
      </c>
      <c r="C266" s="2" t="s">
        <v>39</v>
      </c>
      <c r="D266" s="2">
        <v>148.19999999999999</v>
      </c>
      <c r="E266" s="2">
        <v>190.3</v>
      </c>
      <c r="F266" s="2">
        <v>149.4</v>
      </c>
      <c r="G266" s="2">
        <v>153.30000000000001</v>
      </c>
      <c r="H266" s="2">
        <v>138.19999999999999</v>
      </c>
      <c r="I266" s="2">
        <v>143.19999999999999</v>
      </c>
      <c r="J266" s="2">
        <v>148.9</v>
      </c>
      <c r="K266" s="2">
        <v>150.30000000000001</v>
      </c>
      <c r="L266" s="2">
        <v>113.2</v>
      </c>
      <c r="M266" s="2">
        <v>159.80000000000001</v>
      </c>
      <c r="N266" s="2">
        <v>142.1</v>
      </c>
      <c r="O266" s="2">
        <v>161.80000000000001</v>
      </c>
      <c r="P266" s="2">
        <v>152.30000000000001</v>
      </c>
      <c r="Q266" s="2">
        <v>182.4</v>
      </c>
      <c r="R266" s="2">
        <v>154.69999999999999</v>
      </c>
      <c r="S266" s="2">
        <v>150</v>
      </c>
      <c r="T266" s="2">
        <v>154.1</v>
      </c>
      <c r="U266" s="2" t="s">
        <v>32</v>
      </c>
      <c r="V266" s="2">
        <v>144.9</v>
      </c>
      <c r="W266" s="2">
        <v>151.69999999999999</v>
      </c>
      <c r="X266" s="2">
        <v>158.19999999999999</v>
      </c>
      <c r="Y266" s="2">
        <v>141.4</v>
      </c>
      <c r="Z266" s="2">
        <v>153.19999999999999</v>
      </c>
      <c r="AA266" s="2">
        <v>161.80000000000001</v>
      </c>
      <c r="AB266" s="2">
        <v>151.19999999999999</v>
      </c>
      <c r="AC266" s="2">
        <v>151.69999999999999</v>
      </c>
      <c r="AD266" s="2">
        <v>152.69999999999999</v>
      </c>
    </row>
    <row r="267" spans="1:30" ht="14.4" x14ac:dyDescent="0.3">
      <c r="A267" s="2" t="s">
        <v>33</v>
      </c>
      <c r="B267" s="2">
        <v>2020</v>
      </c>
      <c r="C267" s="2" t="s">
        <v>39</v>
      </c>
      <c r="D267" s="2">
        <v>152.69999999999999</v>
      </c>
      <c r="E267" s="2">
        <v>197</v>
      </c>
      <c r="F267" s="2">
        <v>154.6</v>
      </c>
      <c r="G267" s="2">
        <v>153.4</v>
      </c>
      <c r="H267" s="2">
        <v>132.9</v>
      </c>
      <c r="I267" s="2">
        <v>151.80000000000001</v>
      </c>
      <c r="J267" s="2">
        <v>171.2</v>
      </c>
      <c r="K267" s="2">
        <v>152</v>
      </c>
      <c r="L267" s="2">
        <v>116.3</v>
      </c>
      <c r="M267" s="2">
        <v>158.80000000000001</v>
      </c>
      <c r="N267" s="2">
        <v>135.6</v>
      </c>
      <c r="O267" s="2">
        <v>161.69999999999999</v>
      </c>
      <c r="P267" s="2">
        <v>157</v>
      </c>
      <c r="Q267" s="2">
        <v>186.7</v>
      </c>
      <c r="R267" s="2">
        <v>149.1</v>
      </c>
      <c r="S267" s="2">
        <v>136.6</v>
      </c>
      <c r="T267" s="2">
        <v>147.19999999999999</v>
      </c>
      <c r="U267" s="2">
        <v>154.69999999999999</v>
      </c>
      <c r="V267" s="2">
        <v>137.1</v>
      </c>
      <c r="W267" s="2">
        <v>140.4</v>
      </c>
      <c r="X267" s="2">
        <v>148.1</v>
      </c>
      <c r="Y267" s="2">
        <v>129.30000000000001</v>
      </c>
      <c r="Z267" s="2">
        <v>144.5</v>
      </c>
      <c r="AA267" s="2">
        <v>152.5</v>
      </c>
      <c r="AB267" s="2">
        <v>152.19999999999999</v>
      </c>
      <c r="AC267" s="2">
        <v>142</v>
      </c>
      <c r="AD267" s="2">
        <v>150.80000000000001</v>
      </c>
    </row>
    <row r="268" spans="1:30" ht="14.4" x14ac:dyDescent="0.3">
      <c r="A268" s="2" t="s">
        <v>34</v>
      </c>
      <c r="B268" s="2">
        <v>2020</v>
      </c>
      <c r="C268" s="2" t="s">
        <v>39</v>
      </c>
      <c r="D268" s="2">
        <v>149.6</v>
      </c>
      <c r="E268" s="2">
        <v>192.7</v>
      </c>
      <c r="F268" s="2">
        <v>151.4</v>
      </c>
      <c r="G268" s="2">
        <v>153.30000000000001</v>
      </c>
      <c r="H268" s="2">
        <v>136.30000000000001</v>
      </c>
      <c r="I268" s="2">
        <v>147.19999999999999</v>
      </c>
      <c r="J268" s="2">
        <v>156.5</v>
      </c>
      <c r="K268" s="2">
        <v>150.9</v>
      </c>
      <c r="L268" s="2">
        <v>114.2</v>
      </c>
      <c r="M268" s="2">
        <v>159.5</v>
      </c>
      <c r="N268" s="2">
        <v>139.4</v>
      </c>
      <c r="O268" s="2">
        <v>161.80000000000001</v>
      </c>
      <c r="P268" s="2">
        <v>154</v>
      </c>
      <c r="Q268" s="2">
        <v>183.5</v>
      </c>
      <c r="R268" s="2">
        <v>152.5</v>
      </c>
      <c r="S268" s="2">
        <v>144.4</v>
      </c>
      <c r="T268" s="2">
        <v>151.4</v>
      </c>
      <c r="U268" s="2">
        <v>154.69999999999999</v>
      </c>
      <c r="V268" s="2">
        <v>141.9</v>
      </c>
      <c r="W268" s="2">
        <v>146.4</v>
      </c>
      <c r="X268" s="2">
        <v>154.4</v>
      </c>
      <c r="Y268" s="2">
        <v>135</v>
      </c>
      <c r="Z268" s="2">
        <v>148.30000000000001</v>
      </c>
      <c r="AA268" s="2">
        <v>156.4</v>
      </c>
      <c r="AB268" s="2">
        <v>151.6</v>
      </c>
      <c r="AC268" s="2">
        <v>147</v>
      </c>
      <c r="AD268" s="2">
        <v>151.80000000000001</v>
      </c>
    </row>
    <row r="269" spans="1:30" ht="14.4" x14ac:dyDescent="0.3">
      <c r="A269" s="2" t="s">
        <v>30</v>
      </c>
      <c r="B269" s="2">
        <v>2020</v>
      </c>
      <c r="C269" s="2" t="s">
        <v>40</v>
      </c>
      <c r="D269" s="2">
        <v>148.19999999999999</v>
      </c>
      <c r="E269" s="2">
        <v>190.3</v>
      </c>
      <c r="F269" s="2">
        <v>149.4</v>
      </c>
      <c r="G269" s="2">
        <v>153.30000000000001</v>
      </c>
      <c r="H269" s="2">
        <v>138.19999999999999</v>
      </c>
      <c r="I269" s="2">
        <v>143.19999999999999</v>
      </c>
      <c r="J269" s="2">
        <v>148.9</v>
      </c>
      <c r="K269" s="2">
        <v>150.30000000000001</v>
      </c>
      <c r="L269" s="2">
        <v>113.2</v>
      </c>
      <c r="M269" s="2">
        <v>159.80000000000001</v>
      </c>
      <c r="N269" s="2">
        <v>142.1</v>
      </c>
      <c r="O269" s="2">
        <v>161.80000000000001</v>
      </c>
      <c r="P269" s="2">
        <v>152.30000000000001</v>
      </c>
      <c r="Q269" s="2">
        <v>182.4</v>
      </c>
      <c r="R269" s="2">
        <v>154.69999999999999</v>
      </c>
      <c r="S269" s="2">
        <v>150</v>
      </c>
      <c r="T269" s="2">
        <v>154.1</v>
      </c>
      <c r="U269" s="2" t="s">
        <v>32</v>
      </c>
      <c r="V269" s="2">
        <v>144.9</v>
      </c>
      <c r="W269" s="2">
        <v>151.69999999999999</v>
      </c>
      <c r="X269" s="2">
        <v>158.19999999999999</v>
      </c>
      <c r="Y269" s="2">
        <v>141.4</v>
      </c>
      <c r="Z269" s="2">
        <v>153.19999999999999</v>
      </c>
      <c r="AA269" s="2">
        <v>161.80000000000001</v>
      </c>
      <c r="AB269" s="2">
        <v>151.19999999999999</v>
      </c>
      <c r="AC269" s="2">
        <v>151.69999999999999</v>
      </c>
      <c r="AD269" s="2">
        <v>152.69999999999999</v>
      </c>
    </row>
    <row r="270" spans="1:30" ht="14.4" x14ac:dyDescent="0.3">
      <c r="A270" s="2" t="s">
        <v>33</v>
      </c>
      <c r="B270" s="2">
        <v>2020</v>
      </c>
      <c r="C270" s="2" t="s">
        <v>40</v>
      </c>
      <c r="D270" s="2">
        <v>152.69999999999999</v>
      </c>
      <c r="E270" s="2">
        <v>197</v>
      </c>
      <c r="F270" s="2">
        <v>154.6</v>
      </c>
      <c r="G270" s="2">
        <v>153.4</v>
      </c>
      <c r="H270" s="2">
        <v>132.9</v>
      </c>
      <c r="I270" s="2">
        <v>151.80000000000001</v>
      </c>
      <c r="J270" s="2">
        <v>171.2</v>
      </c>
      <c r="K270" s="2">
        <v>152</v>
      </c>
      <c r="L270" s="2">
        <v>116.3</v>
      </c>
      <c r="M270" s="2">
        <v>158.80000000000001</v>
      </c>
      <c r="N270" s="2">
        <v>135.6</v>
      </c>
      <c r="O270" s="2">
        <v>161.69999999999999</v>
      </c>
      <c r="P270" s="2">
        <v>157</v>
      </c>
      <c r="Q270" s="2">
        <v>186.7</v>
      </c>
      <c r="R270" s="2">
        <v>149.1</v>
      </c>
      <c r="S270" s="2">
        <v>136.6</v>
      </c>
      <c r="T270" s="2">
        <v>147.19999999999999</v>
      </c>
      <c r="U270" s="2">
        <v>154.69999999999999</v>
      </c>
      <c r="V270" s="2">
        <v>137.1</v>
      </c>
      <c r="W270" s="2">
        <v>140.4</v>
      </c>
      <c r="X270" s="2">
        <v>148.1</v>
      </c>
      <c r="Y270" s="2">
        <v>129.30000000000001</v>
      </c>
      <c r="Z270" s="2">
        <v>144.5</v>
      </c>
      <c r="AA270" s="2">
        <v>152.5</v>
      </c>
      <c r="AB270" s="2">
        <v>152.19999999999999</v>
      </c>
      <c r="AC270" s="2">
        <v>142</v>
      </c>
      <c r="AD270" s="2">
        <v>150.80000000000001</v>
      </c>
    </row>
    <row r="271" spans="1:30" ht="14.4" x14ac:dyDescent="0.3">
      <c r="A271" s="2" t="s">
        <v>34</v>
      </c>
      <c r="B271" s="2">
        <v>2020</v>
      </c>
      <c r="C271" s="2" t="s">
        <v>40</v>
      </c>
      <c r="D271" s="2">
        <v>149.6</v>
      </c>
      <c r="E271" s="2">
        <v>192.7</v>
      </c>
      <c r="F271" s="2">
        <v>151.4</v>
      </c>
      <c r="G271" s="2">
        <v>153.30000000000001</v>
      </c>
      <c r="H271" s="2">
        <v>136.30000000000001</v>
      </c>
      <c r="I271" s="2">
        <v>147.19999999999999</v>
      </c>
      <c r="J271" s="2">
        <v>156.5</v>
      </c>
      <c r="K271" s="2">
        <v>150.9</v>
      </c>
      <c r="L271" s="2">
        <v>114.2</v>
      </c>
      <c r="M271" s="2">
        <v>159.5</v>
      </c>
      <c r="N271" s="2">
        <v>139.4</v>
      </c>
      <c r="O271" s="2">
        <v>161.80000000000001</v>
      </c>
      <c r="P271" s="2">
        <v>154</v>
      </c>
      <c r="Q271" s="2">
        <v>183.5</v>
      </c>
      <c r="R271" s="2">
        <v>152.5</v>
      </c>
      <c r="S271" s="2">
        <v>144.4</v>
      </c>
      <c r="T271" s="2">
        <v>151.4</v>
      </c>
      <c r="U271" s="2">
        <v>154.69999999999999</v>
      </c>
      <c r="V271" s="2">
        <v>141.9</v>
      </c>
      <c r="W271" s="2">
        <v>146.4</v>
      </c>
      <c r="X271" s="2">
        <v>154.4</v>
      </c>
      <c r="Y271" s="2">
        <v>135</v>
      </c>
      <c r="Z271" s="2">
        <v>148.30000000000001</v>
      </c>
      <c r="AA271" s="2">
        <v>156.4</v>
      </c>
      <c r="AB271" s="2">
        <v>151.6</v>
      </c>
      <c r="AC271" s="2">
        <v>147</v>
      </c>
      <c r="AD271" s="2">
        <v>151.80000000000001</v>
      </c>
    </row>
    <row r="272" spans="1:30" ht="14.4" x14ac:dyDescent="0.3">
      <c r="A272" s="2" t="s">
        <v>30</v>
      </c>
      <c r="B272" s="2">
        <v>2020</v>
      </c>
      <c r="C272" s="2" t="s">
        <v>41</v>
      </c>
      <c r="D272" s="2">
        <v>147.6</v>
      </c>
      <c r="E272" s="2">
        <v>187.2</v>
      </c>
      <c r="F272" s="2">
        <v>148.4</v>
      </c>
      <c r="G272" s="2">
        <v>153.30000000000001</v>
      </c>
      <c r="H272" s="2">
        <v>139.80000000000001</v>
      </c>
      <c r="I272" s="2">
        <v>146.9</v>
      </c>
      <c r="J272" s="2">
        <v>171</v>
      </c>
      <c r="K272" s="2">
        <v>149.9</v>
      </c>
      <c r="L272" s="2">
        <v>114.2</v>
      </c>
      <c r="M272" s="2">
        <v>160</v>
      </c>
      <c r="N272" s="2">
        <v>143.5</v>
      </c>
      <c r="O272" s="2">
        <v>161.5</v>
      </c>
      <c r="P272" s="2">
        <v>155.30000000000001</v>
      </c>
      <c r="Q272" s="2">
        <v>180.9</v>
      </c>
      <c r="R272" s="2">
        <v>155.1</v>
      </c>
      <c r="S272" s="2">
        <v>149.30000000000001</v>
      </c>
      <c r="T272" s="2">
        <v>154.30000000000001</v>
      </c>
      <c r="U272" s="2" t="s">
        <v>32</v>
      </c>
      <c r="V272" s="2">
        <v>145.80000000000001</v>
      </c>
      <c r="W272" s="2">
        <v>151.9</v>
      </c>
      <c r="X272" s="2">
        <v>158.80000000000001</v>
      </c>
      <c r="Y272" s="2">
        <v>143.6</v>
      </c>
      <c r="Z272" s="2">
        <v>152.19999999999999</v>
      </c>
      <c r="AA272" s="2">
        <v>162.69999999999999</v>
      </c>
      <c r="AB272" s="2">
        <v>153.6</v>
      </c>
      <c r="AC272" s="2">
        <v>153</v>
      </c>
      <c r="AD272" s="2">
        <v>154.69999999999999</v>
      </c>
    </row>
    <row r="273" spans="1:30" ht="14.4" x14ac:dyDescent="0.3">
      <c r="A273" s="2" t="s">
        <v>33</v>
      </c>
      <c r="B273" s="2">
        <v>2020</v>
      </c>
      <c r="C273" s="2" t="s">
        <v>41</v>
      </c>
      <c r="D273" s="2">
        <v>151.6</v>
      </c>
      <c r="E273" s="2">
        <v>197.8</v>
      </c>
      <c r="F273" s="2">
        <v>154.5</v>
      </c>
      <c r="G273" s="2">
        <v>153.4</v>
      </c>
      <c r="H273" s="2">
        <v>133.4</v>
      </c>
      <c r="I273" s="2">
        <v>154.5</v>
      </c>
      <c r="J273" s="2">
        <v>191.9</v>
      </c>
      <c r="K273" s="2">
        <v>151.30000000000001</v>
      </c>
      <c r="L273" s="2">
        <v>116.8</v>
      </c>
      <c r="M273" s="2">
        <v>160</v>
      </c>
      <c r="N273" s="2">
        <v>136.5</v>
      </c>
      <c r="O273" s="2">
        <v>163.30000000000001</v>
      </c>
      <c r="P273" s="2">
        <v>159.9</v>
      </c>
      <c r="Q273" s="2">
        <v>187.2</v>
      </c>
      <c r="R273" s="2">
        <v>150</v>
      </c>
      <c r="S273" s="2">
        <v>135.19999999999999</v>
      </c>
      <c r="T273" s="2">
        <v>147.80000000000001</v>
      </c>
      <c r="U273" s="2">
        <v>155.5</v>
      </c>
      <c r="V273" s="2">
        <v>138.30000000000001</v>
      </c>
      <c r="W273" s="2">
        <v>144.5</v>
      </c>
      <c r="X273" s="2">
        <v>148.69999999999999</v>
      </c>
      <c r="Y273" s="2">
        <v>133.9</v>
      </c>
      <c r="Z273" s="2">
        <v>141.19999999999999</v>
      </c>
      <c r="AA273" s="2">
        <v>155.5</v>
      </c>
      <c r="AB273" s="2">
        <v>155.19999999999999</v>
      </c>
      <c r="AC273" s="2">
        <v>144.80000000000001</v>
      </c>
      <c r="AD273" s="2">
        <v>152.9</v>
      </c>
    </row>
    <row r="274" spans="1:30" ht="14.4" x14ac:dyDescent="0.3">
      <c r="A274" s="2" t="s">
        <v>34</v>
      </c>
      <c r="B274" s="2">
        <v>2020</v>
      </c>
      <c r="C274" s="2" t="s">
        <v>41</v>
      </c>
      <c r="D274" s="2">
        <v>148.9</v>
      </c>
      <c r="E274" s="2">
        <v>190.9</v>
      </c>
      <c r="F274" s="2">
        <v>150.80000000000001</v>
      </c>
      <c r="G274" s="2">
        <v>153.30000000000001</v>
      </c>
      <c r="H274" s="2">
        <v>137.4</v>
      </c>
      <c r="I274" s="2">
        <v>150.4</v>
      </c>
      <c r="J274" s="2">
        <v>178.1</v>
      </c>
      <c r="K274" s="2">
        <v>150.4</v>
      </c>
      <c r="L274" s="2">
        <v>115.1</v>
      </c>
      <c r="M274" s="2">
        <v>160</v>
      </c>
      <c r="N274" s="2">
        <v>140.6</v>
      </c>
      <c r="O274" s="2">
        <v>162.30000000000001</v>
      </c>
      <c r="P274" s="2">
        <v>157</v>
      </c>
      <c r="Q274" s="2">
        <v>182.6</v>
      </c>
      <c r="R274" s="2">
        <v>153.1</v>
      </c>
      <c r="S274" s="2">
        <v>143.4</v>
      </c>
      <c r="T274" s="2">
        <v>151.69999999999999</v>
      </c>
      <c r="U274" s="2">
        <v>155.5</v>
      </c>
      <c r="V274" s="2">
        <v>143</v>
      </c>
      <c r="W274" s="2">
        <v>148.4</v>
      </c>
      <c r="X274" s="2">
        <v>155</v>
      </c>
      <c r="Y274" s="2">
        <v>138.5</v>
      </c>
      <c r="Z274" s="2">
        <v>146</v>
      </c>
      <c r="AA274" s="2">
        <v>158.5</v>
      </c>
      <c r="AB274" s="2">
        <v>154.30000000000001</v>
      </c>
      <c r="AC274" s="2">
        <v>149</v>
      </c>
      <c r="AD274" s="2">
        <v>153.9</v>
      </c>
    </row>
    <row r="275" spans="1:30" ht="14.4" x14ac:dyDescent="0.3">
      <c r="A275" s="2" t="s">
        <v>30</v>
      </c>
      <c r="B275" s="2">
        <v>2020</v>
      </c>
      <c r="C275" s="2" t="s">
        <v>42</v>
      </c>
      <c r="D275" s="2">
        <v>146.9</v>
      </c>
      <c r="E275" s="2">
        <v>183.9</v>
      </c>
      <c r="F275" s="2">
        <v>149.5</v>
      </c>
      <c r="G275" s="2">
        <v>153.4</v>
      </c>
      <c r="H275" s="2">
        <v>140.4</v>
      </c>
      <c r="I275" s="2">
        <v>147</v>
      </c>
      <c r="J275" s="2">
        <v>178.8</v>
      </c>
      <c r="K275" s="2">
        <v>149.30000000000001</v>
      </c>
      <c r="L275" s="2">
        <v>115.1</v>
      </c>
      <c r="M275" s="2">
        <v>160</v>
      </c>
      <c r="N275" s="2">
        <v>145.4</v>
      </c>
      <c r="O275" s="2">
        <v>161.6</v>
      </c>
      <c r="P275" s="2">
        <v>156.1</v>
      </c>
      <c r="Q275" s="2">
        <v>182.9</v>
      </c>
      <c r="R275" s="2">
        <v>155.4</v>
      </c>
      <c r="S275" s="2">
        <v>149.9</v>
      </c>
      <c r="T275" s="2">
        <v>154.6</v>
      </c>
      <c r="U275" s="2" t="s">
        <v>32</v>
      </c>
      <c r="V275" s="2">
        <v>146.4</v>
      </c>
      <c r="W275" s="2">
        <v>151.6</v>
      </c>
      <c r="X275" s="2">
        <v>159.1</v>
      </c>
      <c r="Y275" s="2">
        <v>144.6</v>
      </c>
      <c r="Z275" s="2">
        <v>152.80000000000001</v>
      </c>
      <c r="AA275" s="2">
        <v>161.1</v>
      </c>
      <c r="AB275" s="2">
        <v>157.4</v>
      </c>
      <c r="AC275" s="2">
        <v>153.69999999999999</v>
      </c>
      <c r="AD275" s="2">
        <v>155.4</v>
      </c>
    </row>
    <row r="276" spans="1:30" ht="14.4" x14ac:dyDescent="0.3">
      <c r="A276" s="2" t="s">
        <v>33</v>
      </c>
      <c r="B276" s="2">
        <v>2020</v>
      </c>
      <c r="C276" s="2" t="s">
        <v>42</v>
      </c>
      <c r="D276" s="2">
        <v>151.5</v>
      </c>
      <c r="E276" s="2">
        <v>193.1</v>
      </c>
      <c r="F276" s="2">
        <v>157.30000000000001</v>
      </c>
      <c r="G276" s="2">
        <v>153.9</v>
      </c>
      <c r="H276" s="2">
        <v>134.4</v>
      </c>
      <c r="I276" s="2">
        <v>155.4</v>
      </c>
      <c r="J276" s="2">
        <v>202</v>
      </c>
      <c r="K276" s="2">
        <v>150.80000000000001</v>
      </c>
      <c r="L276" s="2">
        <v>118.9</v>
      </c>
      <c r="M276" s="2">
        <v>160.9</v>
      </c>
      <c r="N276" s="2">
        <v>137.69999999999999</v>
      </c>
      <c r="O276" s="2">
        <v>164.4</v>
      </c>
      <c r="P276" s="2">
        <v>161.30000000000001</v>
      </c>
      <c r="Q276" s="2">
        <v>188.7</v>
      </c>
      <c r="R276" s="2">
        <v>150.19999999999999</v>
      </c>
      <c r="S276" s="2">
        <v>136.30000000000001</v>
      </c>
      <c r="T276" s="2">
        <v>148.1</v>
      </c>
      <c r="U276" s="2">
        <v>156.30000000000001</v>
      </c>
      <c r="V276" s="2">
        <v>137.19999999999999</v>
      </c>
      <c r="W276" s="2">
        <v>145.4</v>
      </c>
      <c r="X276" s="2">
        <v>150</v>
      </c>
      <c r="Y276" s="2">
        <v>135.1</v>
      </c>
      <c r="Z276" s="2">
        <v>141.80000000000001</v>
      </c>
      <c r="AA276" s="2">
        <v>154.9</v>
      </c>
      <c r="AB276" s="2">
        <v>159.80000000000001</v>
      </c>
      <c r="AC276" s="2">
        <v>146</v>
      </c>
      <c r="AD276" s="2">
        <v>154</v>
      </c>
    </row>
    <row r="277" spans="1:30" ht="14.4" x14ac:dyDescent="0.3">
      <c r="A277" s="2" t="s">
        <v>34</v>
      </c>
      <c r="B277" s="2">
        <v>2020</v>
      </c>
      <c r="C277" s="2" t="s">
        <v>42</v>
      </c>
      <c r="D277" s="2">
        <v>148.4</v>
      </c>
      <c r="E277" s="2">
        <v>187.1</v>
      </c>
      <c r="F277" s="2">
        <v>152.5</v>
      </c>
      <c r="G277" s="2">
        <v>153.6</v>
      </c>
      <c r="H277" s="2">
        <v>138.19999999999999</v>
      </c>
      <c r="I277" s="2">
        <v>150.9</v>
      </c>
      <c r="J277" s="2">
        <v>186.7</v>
      </c>
      <c r="K277" s="2">
        <v>149.80000000000001</v>
      </c>
      <c r="L277" s="2">
        <v>116.4</v>
      </c>
      <c r="M277" s="2">
        <v>160.30000000000001</v>
      </c>
      <c r="N277" s="2">
        <v>142.19999999999999</v>
      </c>
      <c r="O277" s="2">
        <v>162.9</v>
      </c>
      <c r="P277" s="2">
        <v>158</v>
      </c>
      <c r="Q277" s="2">
        <v>184.4</v>
      </c>
      <c r="R277" s="2">
        <v>153.4</v>
      </c>
      <c r="S277" s="2">
        <v>144.30000000000001</v>
      </c>
      <c r="T277" s="2">
        <v>152</v>
      </c>
      <c r="U277" s="2">
        <v>156.30000000000001</v>
      </c>
      <c r="V277" s="2">
        <v>142.9</v>
      </c>
      <c r="W277" s="2">
        <v>148.69999999999999</v>
      </c>
      <c r="X277" s="2">
        <v>155.6</v>
      </c>
      <c r="Y277" s="2">
        <v>139.6</v>
      </c>
      <c r="Z277" s="2">
        <v>146.6</v>
      </c>
      <c r="AA277" s="2">
        <v>157.5</v>
      </c>
      <c r="AB277" s="2">
        <v>158.4</v>
      </c>
      <c r="AC277" s="2">
        <v>150</v>
      </c>
      <c r="AD277" s="2">
        <v>154.69999999999999</v>
      </c>
    </row>
    <row r="278" spans="1:30" ht="14.4" x14ac:dyDescent="0.3">
      <c r="A278" s="2" t="s">
        <v>30</v>
      </c>
      <c r="B278" s="2">
        <v>2020</v>
      </c>
      <c r="C278" s="2" t="s">
        <v>43</v>
      </c>
      <c r="D278" s="2">
        <v>146</v>
      </c>
      <c r="E278" s="2">
        <v>186.3</v>
      </c>
      <c r="F278" s="2">
        <v>159.19999999999999</v>
      </c>
      <c r="G278" s="2">
        <v>153.6</v>
      </c>
      <c r="H278" s="2">
        <v>142.6</v>
      </c>
      <c r="I278" s="2">
        <v>147.19999999999999</v>
      </c>
      <c r="J278" s="2">
        <v>200.6</v>
      </c>
      <c r="K278" s="2">
        <v>150.30000000000001</v>
      </c>
      <c r="L278" s="2">
        <v>115.3</v>
      </c>
      <c r="M278" s="2">
        <v>160.9</v>
      </c>
      <c r="N278" s="2">
        <v>147.4</v>
      </c>
      <c r="O278" s="2">
        <v>161.9</v>
      </c>
      <c r="P278" s="2">
        <v>159.6</v>
      </c>
      <c r="Q278" s="2">
        <v>182.7</v>
      </c>
      <c r="R278" s="2">
        <v>155.69999999999999</v>
      </c>
      <c r="S278" s="2">
        <v>150.6</v>
      </c>
      <c r="T278" s="2">
        <v>155</v>
      </c>
      <c r="U278" s="2" t="s">
        <v>32</v>
      </c>
      <c r="V278" s="2">
        <v>146.80000000000001</v>
      </c>
      <c r="W278" s="2">
        <v>152</v>
      </c>
      <c r="X278" s="2">
        <v>159.5</v>
      </c>
      <c r="Y278" s="2">
        <v>146.4</v>
      </c>
      <c r="Z278" s="2">
        <v>152.4</v>
      </c>
      <c r="AA278" s="2">
        <v>162.5</v>
      </c>
      <c r="AB278" s="2">
        <v>156.19999999999999</v>
      </c>
      <c r="AC278" s="2">
        <v>154.30000000000001</v>
      </c>
      <c r="AD278" s="2">
        <v>157.5</v>
      </c>
    </row>
    <row r="279" spans="1:30" ht="14.4" x14ac:dyDescent="0.3">
      <c r="A279" s="2" t="s">
        <v>33</v>
      </c>
      <c r="B279" s="2">
        <v>2020</v>
      </c>
      <c r="C279" s="2" t="s">
        <v>43</v>
      </c>
      <c r="D279" s="2">
        <v>150.6</v>
      </c>
      <c r="E279" s="2">
        <v>193.7</v>
      </c>
      <c r="F279" s="2">
        <v>164.8</v>
      </c>
      <c r="G279" s="2">
        <v>153.69999999999999</v>
      </c>
      <c r="H279" s="2">
        <v>135.69999999999999</v>
      </c>
      <c r="I279" s="2">
        <v>155.69999999999999</v>
      </c>
      <c r="J279" s="2">
        <v>226</v>
      </c>
      <c r="K279" s="2">
        <v>152.19999999999999</v>
      </c>
      <c r="L279" s="2">
        <v>118.1</v>
      </c>
      <c r="M279" s="2">
        <v>161.30000000000001</v>
      </c>
      <c r="N279" s="2">
        <v>139.19999999999999</v>
      </c>
      <c r="O279" s="2">
        <v>164.8</v>
      </c>
      <c r="P279" s="2">
        <v>164.4</v>
      </c>
      <c r="Q279" s="2">
        <v>188.7</v>
      </c>
      <c r="R279" s="2">
        <v>150.5</v>
      </c>
      <c r="S279" s="2">
        <v>136.1</v>
      </c>
      <c r="T279" s="2">
        <v>148.30000000000001</v>
      </c>
      <c r="U279" s="2">
        <v>156.5</v>
      </c>
      <c r="V279" s="2">
        <v>137.1</v>
      </c>
      <c r="W279" s="2">
        <v>145.1</v>
      </c>
      <c r="X279" s="2">
        <v>151</v>
      </c>
      <c r="Y279" s="2">
        <v>135.4</v>
      </c>
      <c r="Z279" s="2">
        <v>142</v>
      </c>
      <c r="AA279" s="2">
        <v>155.69999999999999</v>
      </c>
      <c r="AB279" s="2">
        <v>158.1</v>
      </c>
      <c r="AC279" s="2">
        <v>146.19999999999999</v>
      </c>
      <c r="AD279" s="2">
        <v>155.19999999999999</v>
      </c>
    </row>
    <row r="280" spans="1:30" ht="14.4" x14ac:dyDescent="0.3">
      <c r="A280" s="2" t="s">
        <v>34</v>
      </c>
      <c r="B280" s="2">
        <v>2020</v>
      </c>
      <c r="C280" s="2" t="s">
        <v>43</v>
      </c>
      <c r="D280" s="2">
        <v>147.5</v>
      </c>
      <c r="E280" s="2">
        <v>188.9</v>
      </c>
      <c r="F280" s="2">
        <v>161.4</v>
      </c>
      <c r="G280" s="2">
        <v>153.6</v>
      </c>
      <c r="H280" s="2">
        <v>140.1</v>
      </c>
      <c r="I280" s="2">
        <v>151.19999999999999</v>
      </c>
      <c r="J280" s="2">
        <v>209.2</v>
      </c>
      <c r="K280" s="2">
        <v>150.9</v>
      </c>
      <c r="L280" s="2">
        <v>116.2</v>
      </c>
      <c r="M280" s="2">
        <v>161</v>
      </c>
      <c r="N280" s="2">
        <v>144</v>
      </c>
      <c r="O280" s="2">
        <v>163.19999999999999</v>
      </c>
      <c r="P280" s="2">
        <v>161.4</v>
      </c>
      <c r="Q280" s="2">
        <v>184.3</v>
      </c>
      <c r="R280" s="2">
        <v>153.69999999999999</v>
      </c>
      <c r="S280" s="2">
        <v>144.6</v>
      </c>
      <c r="T280" s="2">
        <v>152.30000000000001</v>
      </c>
      <c r="U280" s="2">
        <v>156.5</v>
      </c>
      <c r="V280" s="2">
        <v>143.1</v>
      </c>
      <c r="W280" s="2">
        <v>148.69999999999999</v>
      </c>
      <c r="X280" s="2">
        <v>156.30000000000001</v>
      </c>
      <c r="Y280" s="2">
        <v>140.6</v>
      </c>
      <c r="Z280" s="2">
        <v>146.5</v>
      </c>
      <c r="AA280" s="2">
        <v>158.5</v>
      </c>
      <c r="AB280" s="2">
        <v>157</v>
      </c>
      <c r="AC280" s="2">
        <v>150.4</v>
      </c>
      <c r="AD280" s="2">
        <v>156.4</v>
      </c>
    </row>
    <row r="281" spans="1:30" ht="14.4" x14ac:dyDescent="0.3">
      <c r="A281" s="2" t="s">
        <v>30</v>
      </c>
      <c r="B281" s="2">
        <v>2020</v>
      </c>
      <c r="C281" s="2" t="s">
        <v>44</v>
      </c>
      <c r="D281" s="2">
        <v>145.4</v>
      </c>
      <c r="E281" s="2">
        <v>188.6</v>
      </c>
      <c r="F281" s="2">
        <v>171.6</v>
      </c>
      <c r="G281" s="2">
        <v>153.80000000000001</v>
      </c>
      <c r="H281" s="2">
        <v>145.4</v>
      </c>
      <c r="I281" s="2">
        <v>146.5</v>
      </c>
      <c r="J281" s="2">
        <v>222.2</v>
      </c>
      <c r="K281" s="2">
        <v>155.9</v>
      </c>
      <c r="L281" s="2">
        <v>114.9</v>
      </c>
      <c r="M281" s="2">
        <v>162</v>
      </c>
      <c r="N281" s="2">
        <v>150</v>
      </c>
      <c r="O281" s="2">
        <v>162.69999999999999</v>
      </c>
      <c r="P281" s="2">
        <v>163.4</v>
      </c>
      <c r="Q281" s="2">
        <v>183.4</v>
      </c>
      <c r="R281" s="2">
        <v>156.30000000000001</v>
      </c>
      <c r="S281" s="2">
        <v>151</v>
      </c>
      <c r="T281" s="2">
        <v>155.5</v>
      </c>
      <c r="U281" s="2" t="s">
        <v>32</v>
      </c>
      <c r="V281" s="2">
        <v>147.5</v>
      </c>
      <c r="W281" s="2">
        <v>152.80000000000001</v>
      </c>
      <c r="X281" s="2">
        <v>160.4</v>
      </c>
      <c r="Y281" s="2">
        <v>146.1</v>
      </c>
      <c r="Z281" s="2">
        <v>153.6</v>
      </c>
      <c r="AA281" s="2">
        <v>161.6</v>
      </c>
      <c r="AB281" s="2">
        <v>156.19999999999999</v>
      </c>
      <c r="AC281" s="2">
        <v>154.5</v>
      </c>
      <c r="AD281" s="2">
        <v>159.80000000000001</v>
      </c>
    </row>
    <row r="282" spans="1:30" ht="14.4" x14ac:dyDescent="0.3">
      <c r="A282" s="2" t="s">
        <v>33</v>
      </c>
      <c r="B282" s="2">
        <v>2020</v>
      </c>
      <c r="C282" s="2" t="s">
        <v>44</v>
      </c>
      <c r="D282" s="2">
        <v>149.69999999999999</v>
      </c>
      <c r="E282" s="2">
        <v>195.5</v>
      </c>
      <c r="F282" s="2">
        <v>176.9</v>
      </c>
      <c r="G282" s="2">
        <v>153.9</v>
      </c>
      <c r="H282" s="2">
        <v>138</v>
      </c>
      <c r="I282" s="2">
        <v>150.5</v>
      </c>
      <c r="J282" s="2">
        <v>245.3</v>
      </c>
      <c r="K282" s="2">
        <v>158.69999999999999</v>
      </c>
      <c r="L282" s="2">
        <v>117.2</v>
      </c>
      <c r="M282" s="2">
        <v>161.4</v>
      </c>
      <c r="N282" s="2">
        <v>141.5</v>
      </c>
      <c r="O282" s="2">
        <v>165.1</v>
      </c>
      <c r="P282" s="2">
        <v>167</v>
      </c>
      <c r="Q282" s="2">
        <v>188.8</v>
      </c>
      <c r="R282" s="2">
        <v>151.1</v>
      </c>
      <c r="S282" s="2">
        <v>136.4</v>
      </c>
      <c r="T282" s="2">
        <v>148.80000000000001</v>
      </c>
      <c r="U282" s="2">
        <v>158</v>
      </c>
      <c r="V282" s="2">
        <v>137.30000000000001</v>
      </c>
      <c r="W282" s="2">
        <v>145.1</v>
      </c>
      <c r="X282" s="2">
        <v>152</v>
      </c>
      <c r="Y282" s="2">
        <v>135.19999999999999</v>
      </c>
      <c r="Z282" s="2">
        <v>144.4</v>
      </c>
      <c r="AA282" s="2">
        <v>156.4</v>
      </c>
      <c r="AB282" s="2">
        <v>157.9</v>
      </c>
      <c r="AC282" s="2">
        <v>146.6</v>
      </c>
      <c r="AD282" s="2">
        <v>156.69999999999999</v>
      </c>
    </row>
    <row r="283" spans="1:30" ht="14.4" x14ac:dyDescent="0.3">
      <c r="A283" s="2" t="s">
        <v>34</v>
      </c>
      <c r="B283" s="2">
        <v>2020</v>
      </c>
      <c r="C283" s="2" t="s">
        <v>44</v>
      </c>
      <c r="D283" s="2">
        <v>146.80000000000001</v>
      </c>
      <c r="E283" s="2">
        <v>191</v>
      </c>
      <c r="F283" s="2">
        <v>173.6</v>
      </c>
      <c r="G283" s="2">
        <v>153.80000000000001</v>
      </c>
      <c r="H283" s="2">
        <v>142.69999999999999</v>
      </c>
      <c r="I283" s="2">
        <v>148.4</v>
      </c>
      <c r="J283" s="2">
        <v>230</v>
      </c>
      <c r="K283" s="2">
        <v>156.80000000000001</v>
      </c>
      <c r="L283" s="2">
        <v>115.7</v>
      </c>
      <c r="M283" s="2">
        <v>161.80000000000001</v>
      </c>
      <c r="N283" s="2">
        <v>146.5</v>
      </c>
      <c r="O283" s="2">
        <v>163.80000000000001</v>
      </c>
      <c r="P283" s="2">
        <v>164.7</v>
      </c>
      <c r="Q283" s="2">
        <v>184.8</v>
      </c>
      <c r="R283" s="2">
        <v>154.30000000000001</v>
      </c>
      <c r="S283" s="2">
        <v>144.9</v>
      </c>
      <c r="T283" s="2">
        <v>152.80000000000001</v>
      </c>
      <c r="U283" s="2">
        <v>158</v>
      </c>
      <c r="V283" s="2">
        <v>143.6</v>
      </c>
      <c r="W283" s="2">
        <v>149.19999999999999</v>
      </c>
      <c r="X283" s="2">
        <v>157.19999999999999</v>
      </c>
      <c r="Y283" s="2">
        <v>140.4</v>
      </c>
      <c r="Z283" s="2">
        <v>148.4</v>
      </c>
      <c r="AA283" s="2">
        <v>158.6</v>
      </c>
      <c r="AB283" s="2">
        <v>156.9</v>
      </c>
      <c r="AC283" s="2">
        <v>150.69999999999999</v>
      </c>
      <c r="AD283" s="2">
        <v>158.4</v>
      </c>
    </row>
    <row r="284" spans="1:30" ht="14.4" x14ac:dyDescent="0.3">
      <c r="A284" s="2" t="s">
        <v>30</v>
      </c>
      <c r="B284" s="2">
        <v>2020</v>
      </c>
      <c r="C284" s="2" t="s">
        <v>45</v>
      </c>
      <c r="D284" s="2">
        <v>144.6</v>
      </c>
      <c r="E284" s="2">
        <v>188.5</v>
      </c>
      <c r="F284" s="2">
        <v>173.4</v>
      </c>
      <c r="G284" s="2">
        <v>154</v>
      </c>
      <c r="H284" s="2">
        <v>150</v>
      </c>
      <c r="I284" s="2">
        <v>145.9</v>
      </c>
      <c r="J284" s="2">
        <v>225.2</v>
      </c>
      <c r="K284" s="2">
        <v>159.5</v>
      </c>
      <c r="L284" s="2">
        <v>114.4</v>
      </c>
      <c r="M284" s="2">
        <v>163.5</v>
      </c>
      <c r="N284" s="2">
        <v>153.4</v>
      </c>
      <c r="O284" s="2">
        <v>163.6</v>
      </c>
      <c r="P284" s="2">
        <v>164.5</v>
      </c>
      <c r="Q284" s="2">
        <v>183.6</v>
      </c>
      <c r="R284" s="2">
        <v>157</v>
      </c>
      <c r="S284" s="2">
        <v>151.6</v>
      </c>
      <c r="T284" s="2">
        <v>156.30000000000001</v>
      </c>
      <c r="U284" s="2" t="s">
        <v>32</v>
      </c>
      <c r="V284" s="2">
        <v>148.69999999999999</v>
      </c>
      <c r="W284" s="2">
        <v>153.4</v>
      </c>
      <c r="X284" s="2">
        <v>161.6</v>
      </c>
      <c r="Y284" s="2">
        <v>146.4</v>
      </c>
      <c r="Z284" s="2">
        <v>153.9</v>
      </c>
      <c r="AA284" s="2">
        <v>162.9</v>
      </c>
      <c r="AB284" s="2">
        <v>156.6</v>
      </c>
      <c r="AC284" s="2">
        <v>155.19999999999999</v>
      </c>
      <c r="AD284" s="2">
        <v>160.69999999999999</v>
      </c>
    </row>
    <row r="285" spans="1:30" ht="14.4" x14ac:dyDescent="0.3">
      <c r="A285" s="2" t="s">
        <v>33</v>
      </c>
      <c r="B285" s="2">
        <v>2020</v>
      </c>
      <c r="C285" s="2" t="s">
        <v>45</v>
      </c>
      <c r="D285" s="2">
        <v>149</v>
      </c>
      <c r="E285" s="2">
        <v>195.7</v>
      </c>
      <c r="F285" s="2">
        <v>178.3</v>
      </c>
      <c r="G285" s="2">
        <v>154.19999999999999</v>
      </c>
      <c r="H285" s="2">
        <v>140.69999999999999</v>
      </c>
      <c r="I285" s="2">
        <v>149.69999999999999</v>
      </c>
      <c r="J285" s="2">
        <v>240.9</v>
      </c>
      <c r="K285" s="2">
        <v>161.5</v>
      </c>
      <c r="L285" s="2">
        <v>117.1</v>
      </c>
      <c r="M285" s="2">
        <v>161.9</v>
      </c>
      <c r="N285" s="2">
        <v>143.30000000000001</v>
      </c>
      <c r="O285" s="2">
        <v>166.1</v>
      </c>
      <c r="P285" s="2">
        <v>167</v>
      </c>
      <c r="Q285" s="2">
        <v>190.2</v>
      </c>
      <c r="R285" s="2">
        <v>151.9</v>
      </c>
      <c r="S285" s="2">
        <v>136.69999999999999</v>
      </c>
      <c r="T285" s="2">
        <v>149.6</v>
      </c>
      <c r="U285" s="2">
        <v>158.4</v>
      </c>
      <c r="V285" s="2">
        <v>137.9</v>
      </c>
      <c r="W285" s="2">
        <v>145.5</v>
      </c>
      <c r="X285" s="2">
        <v>152.9</v>
      </c>
      <c r="Y285" s="2">
        <v>135.5</v>
      </c>
      <c r="Z285" s="2">
        <v>144.30000000000001</v>
      </c>
      <c r="AA285" s="2">
        <v>156.9</v>
      </c>
      <c r="AB285" s="2">
        <v>157.9</v>
      </c>
      <c r="AC285" s="2">
        <v>146.9</v>
      </c>
      <c r="AD285" s="2">
        <v>156.9</v>
      </c>
    </row>
    <row r="286" spans="1:30" ht="14.4" x14ac:dyDescent="0.3">
      <c r="A286" s="2" t="s">
        <v>34</v>
      </c>
      <c r="B286" s="2">
        <v>2020</v>
      </c>
      <c r="C286" s="2" t="s">
        <v>45</v>
      </c>
      <c r="D286" s="2">
        <v>146</v>
      </c>
      <c r="E286" s="2">
        <v>191</v>
      </c>
      <c r="F286" s="2">
        <v>175.3</v>
      </c>
      <c r="G286" s="2">
        <v>154.1</v>
      </c>
      <c r="H286" s="2">
        <v>146.6</v>
      </c>
      <c r="I286" s="2">
        <v>147.69999999999999</v>
      </c>
      <c r="J286" s="2">
        <v>230.5</v>
      </c>
      <c r="K286" s="2">
        <v>160.19999999999999</v>
      </c>
      <c r="L286" s="2">
        <v>115.3</v>
      </c>
      <c r="M286" s="2">
        <v>163</v>
      </c>
      <c r="N286" s="2">
        <v>149.19999999999999</v>
      </c>
      <c r="O286" s="2">
        <v>164.8</v>
      </c>
      <c r="P286" s="2">
        <v>165.4</v>
      </c>
      <c r="Q286" s="2">
        <v>185.4</v>
      </c>
      <c r="R286" s="2">
        <v>155</v>
      </c>
      <c r="S286" s="2">
        <v>145.4</v>
      </c>
      <c r="T286" s="2">
        <v>153.6</v>
      </c>
      <c r="U286" s="2">
        <v>158.4</v>
      </c>
      <c r="V286" s="2">
        <v>144.6</v>
      </c>
      <c r="W286" s="2">
        <v>149.69999999999999</v>
      </c>
      <c r="X286" s="2">
        <v>158.30000000000001</v>
      </c>
      <c r="Y286" s="2">
        <v>140.69999999999999</v>
      </c>
      <c r="Z286" s="2">
        <v>148.5</v>
      </c>
      <c r="AA286" s="2">
        <v>159.4</v>
      </c>
      <c r="AB286" s="2">
        <v>157.1</v>
      </c>
      <c r="AC286" s="2">
        <v>151.19999999999999</v>
      </c>
      <c r="AD286" s="2">
        <v>158.9</v>
      </c>
    </row>
    <row r="287" spans="1:30" ht="14.4" x14ac:dyDescent="0.3">
      <c r="A287" s="2" t="s">
        <v>30</v>
      </c>
      <c r="B287" s="2">
        <v>2021</v>
      </c>
      <c r="C287" s="2" t="s">
        <v>31</v>
      </c>
      <c r="D287" s="2">
        <v>143.4</v>
      </c>
      <c r="E287" s="2">
        <v>187.5</v>
      </c>
      <c r="F287" s="2">
        <v>173.4</v>
      </c>
      <c r="G287" s="2">
        <v>154</v>
      </c>
      <c r="H287" s="2">
        <v>154.80000000000001</v>
      </c>
      <c r="I287" s="2">
        <v>147</v>
      </c>
      <c r="J287" s="2">
        <v>187.8</v>
      </c>
      <c r="K287" s="2">
        <v>159.5</v>
      </c>
      <c r="L287" s="2">
        <v>113.8</v>
      </c>
      <c r="M287" s="2">
        <v>164.5</v>
      </c>
      <c r="N287" s="2">
        <v>156.1</v>
      </c>
      <c r="O287" s="2">
        <v>164.3</v>
      </c>
      <c r="P287" s="2">
        <v>159.6</v>
      </c>
      <c r="Q287" s="2">
        <v>184.6</v>
      </c>
      <c r="R287" s="2">
        <v>157.5</v>
      </c>
      <c r="S287" s="2">
        <v>152.4</v>
      </c>
      <c r="T287" s="2">
        <v>156.80000000000001</v>
      </c>
      <c r="U287" s="2" t="s">
        <v>32</v>
      </c>
      <c r="V287" s="2">
        <v>150.9</v>
      </c>
      <c r="W287" s="2">
        <v>153.9</v>
      </c>
      <c r="X287" s="2">
        <v>162.5</v>
      </c>
      <c r="Y287" s="2">
        <v>147.5</v>
      </c>
      <c r="Z287" s="2">
        <v>155.1</v>
      </c>
      <c r="AA287" s="2">
        <v>163.5</v>
      </c>
      <c r="AB287" s="2">
        <v>156.19999999999999</v>
      </c>
      <c r="AC287" s="2">
        <v>155.9</v>
      </c>
      <c r="AD287" s="2">
        <v>158.5</v>
      </c>
    </row>
    <row r="288" spans="1:30" ht="14.4" x14ac:dyDescent="0.3">
      <c r="A288" s="2" t="s">
        <v>33</v>
      </c>
      <c r="B288" s="2">
        <v>2021</v>
      </c>
      <c r="C288" s="2" t="s">
        <v>31</v>
      </c>
      <c r="D288" s="2">
        <v>148</v>
      </c>
      <c r="E288" s="2">
        <v>194.8</v>
      </c>
      <c r="F288" s="2">
        <v>178.4</v>
      </c>
      <c r="G288" s="2">
        <v>154.4</v>
      </c>
      <c r="H288" s="2">
        <v>144.1</v>
      </c>
      <c r="I288" s="2">
        <v>152.6</v>
      </c>
      <c r="J288" s="2">
        <v>206.8</v>
      </c>
      <c r="K288" s="2">
        <v>162.1</v>
      </c>
      <c r="L288" s="2">
        <v>116.3</v>
      </c>
      <c r="M288" s="2">
        <v>163</v>
      </c>
      <c r="N288" s="2">
        <v>145.9</v>
      </c>
      <c r="O288" s="2">
        <v>167.2</v>
      </c>
      <c r="P288" s="2">
        <v>163.4</v>
      </c>
      <c r="Q288" s="2">
        <v>191.8</v>
      </c>
      <c r="R288" s="2">
        <v>152.5</v>
      </c>
      <c r="S288" s="2">
        <v>137.30000000000001</v>
      </c>
      <c r="T288" s="2">
        <v>150.19999999999999</v>
      </c>
      <c r="U288" s="2">
        <v>157.69999999999999</v>
      </c>
      <c r="V288" s="2">
        <v>142.9</v>
      </c>
      <c r="W288" s="2">
        <v>145.69999999999999</v>
      </c>
      <c r="X288" s="2">
        <v>154.1</v>
      </c>
      <c r="Y288" s="2">
        <v>136.9</v>
      </c>
      <c r="Z288" s="2">
        <v>145.4</v>
      </c>
      <c r="AA288" s="2">
        <v>156.1</v>
      </c>
      <c r="AB288" s="2">
        <v>157.69999999999999</v>
      </c>
      <c r="AC288" s="2">
        <v>147.6</v>
      </c>
      <c r="AD288" s="2">
        <v>156</v>
      </c>
    </row>
    <row r="289" spans="1:30" ht="14.4" x14ac:dyDescent="0.3">
      <c r="A289" s="2" t="s">
        <v>34</v>
      </c>
      <c r="B289" s="2">
        <v>2021</v>
      </c>
      <c r="C289" s="2" t="s">
        <v>31</v>
      </c>
      <c r="D289" s="2">
        <v>144.9</v>
      </c>
      <c r="E289" s="2">
        <v>190.1</v>
      </c>
      <c r="F289" s="2">
        <v>175.3</v>
      </c>
      <c r="G289" s="2">
        <v>154.1</v>
      </c>
      <c r="H289" s="2">
        <v>150.9</v>
      </c>
      <c r="I289" s="2">
        <v>149.6</v>
      </c>
      <c r="J289" s="2">
        <v>194.2</v>
      </c>
      <c r="K289" s="2">
        <v>160.4</v>
      </c>
      <c r="L289" s="2">
        <v>114.6</v>
      </c>
      <c r="M289" s="2">
        <v>164</v>
      </c>
      <c r="N289" s="2">
        <v>151.80000000000001</v>
      </c>
      <c r="O289" s="2">
        <v>165.6</v>
      </c>
      <c r="P289" s="2">
        <v>161</v>
      </c>
      <c r="Q289" s="2">
        <v>186.5</v>
      </c>
      <c r="R289" s="2">
        <v>155.5</v>
      </c>
      <c r="S289" s="2">
        <v>146.1</v>
      </c>
      <c r="T289" s="2">
        <v>154.19999999999999</v>
      </c>
      <c r="U289" s="2">
        <v>157.69999999999999</v>
      </c>
      <c r="V289" s="2">
        <v>147.9</v>
      </c>
      <c r="W289" s="2">
        <v>150</v>
      </c>
      <c r="X289" s="2">
        <v>159.30000000000001</v>
      </c>
      <c r="Y289" s="2">
        <v>141.9</v>
      </c>
      <c r="Z289" s="2">
        <v>149.6</v>
      </c>
      <c r="AA289" s="2">
        <v>159.19999999999999</v>
      </c>
      <c r="AB289" s="2">
        <v>156.80000000000001</v>
      </c>
      <c r="AC289" s="2">
        <v>151.9</v>
      </c>
      <c r="AD289" s="2">
        <v>157.30000000000001</v>
      </c>
    </row>
    <row r="290" spans="1:30" ht="14.4" x14ac:dyDescent="0.3">
      <c r="A290" s="2" t="s">
        <v>30</v>
      </c>
      <c r="B290" s="2">
        <v>2021</v>
      </c>
      <c r="C290" s="2" t="s">
        <v>35</v>
      </c>
      <c r="D290" s="2">
        <v>142.80000000000001</v>
      </c>
      <c r="E290" s="2">
        <v>184</v>
      </c>
      <c r="F290" s="2">
        <v>168</v>
      </c>
      <c r="G290" s="2">
        <v>154.4</v>
      </c>
      <c r="H290" s="2">
        <v>163</v>
      </c>
      <c r="I290" s="2">
        <v>147.80000000000001</v>
      </c>
      <c r="J290" s="2">
        <v>149.69999999999999</v>
      </c>
      <c r="K290" s="2">
        <v>158.30000000000001</v>
      </c>
      <c r="L290" s="2">
        <v>111.8</v>
      </c>
      <c r="M290" s="2">
        <v>165</v>
      </c>
      <c r="N290" s="2">
        <v>160</v>
      </c>
      <c r="O290" s="2">
        <v>165.8</v>
      </c>
      <c r="P290" s="2">
        <v>154.69999999999999</v>
      </c>
      <c r="Q290" s="2">
        <v>186.5</v>
      </c>
      <c r="R290" s="2">
        <v>159.1</v>
      </c>
      <c r="S290" s="2">
        <v>153.9</v>
      </c>
      <c r="T290" s="2">
        <v>158.4</v>
      </c>
      <c r="U290" s="2" t="s">
        <v>32</v>
      </c>
      <c r="V290" s="2">
        <v>154.4</v>
      </c>
      <c r="W290" s="2">
        <v>154.80000000000001</v>
      </c>
      <c r="X290" s="2">
        <v>164.3</v>
      </c>
      <c r="Y290" s="2">
        <v>150.19999999999999</v>
      </c>
      <c r="Z290" s="2">
        <v>157</v>
      </c>
      <c r="AA290" s="2">
        <v>163.6</v>
      </c>
      <c r="AB290" s="2">
        <v>155.19999999999999</v>
      </c>
      <c r="AC290" s="2">
        <v>157.19999999999999</v>
      </c>
      <c r="AD290" s="2">
        <v>156.69999999999999</v>
      </c>
    </row>
    <row r="291" spans="1:30" ht="14.4" x14ac:dyDescent="0.3">
      <c r="A291" s="2" t="s">
        <v>33</v>
      </c>
      <c r="B291" s="2">
        <v>2021</v>
      </c>
      <c r="C291" s="2" t="s">
        <v>35</v>
      </c>
      <c r="D291" s="2">
        <v>147.6</v>
      </c>
      <c r="E291" s="2">
        <v>191.2</v>
      </c>
      <c r="F291" s="2">
        <v>169.9</v>
      </c>
      <c r="G291" s="2">
        <v>155.1</v>
      </c>
      <c r="H291" s="2">
        <v>151.4</v>
      </c>
      <c r="I291" s="2">
        <v>154</v>
      </c>
      <c r="J291" s="2">
        <v>180.2</v>
      </c>
      <c r="K291" s="2">
        <v>159.80000000000001</v>
      </c>
      <c r="L291" s="2">
        <v>114.9</v>
      </c>
      <c r="M291" s="2">
        <v>162.5</v>
      </c>
      <c r="N291" s="2">
        <v>149.19999999999999</v>
      </c>
      <c r="O291" s="2">
        <v>169.4</v>
      </c>
      <c r="P291" s="2">
        <v>160.80000000000001</v>
      </c>
      <c r="Q291" s="2">
        <v>193.3</v>
      </c>
      <c r="R291" s="2">
        <v>154.19999999999999</v>
      </c>
      <c r="S291" s="2">
        <v>138.19999999999999</v>
      </c>
      <c r="T291" s="2">
        <v>151.80000000000001</v>
      </c>
      <c r="U291" s="2">
        <v>159.80000000000001</v>
      </c>
      <c r="V291" s="2">
        <v>149.1</v>
      </c>
      <c r="W291" s="2">
        <v>146.5</v>
      </c>
      <c r="X291" s="2">
        <v>156.30000000000001</v>
      </c>
      <c r="Y291" s="2">
        <v>140.5</v>
      </c>
      <c r="Z291" s="2">
        <v>147.30000000000001</v>
      </c>
      <c r="AA291" s="2">
        <v>156.6</v>
      </c>
      <c r="AB291" s="2">
        <v>156.69999999999999</v>
      </c>
      <c r="AC291" s="2">
        <v>149.30000000000001</v>
      </c>
      <c r="AD291" s="2">
        <v>156.5</v>
      </c>
    </row>
    <row r="292" spans="1:30" ht="14.4" x14ac:dyDescent="0.3">
      <c r="A292" s="2" t="s">
        <v>34</v>
      </c>
      <c r="B292" s="2">
        <v>2021</v>
      </c>
      <c r="C292" s="2" t="s">
        <v>35</v>
      </c>
      <c r="D292" s="2">
        <v>144.30000000000001</v>
      </c>
      <c r="E292" s="2">
        <v>186.5</v>
      </c>
      <c r="F292" s="2">
        <v>168.7</v>
      </c>
      <c r="G292" s="2">
        <v>154.69999999999999</v>
      </c>
      <c r="H292" s="2">
        <v>158.69999999999999</v>
      </c>
      <c r="I292" s="2">
        <v>150.69999999999999</v>
      </c>
      <c r="J292" s="2">
        <v>160</v>
      </c>
      <c r="K292" s="2">
        <v>158.80000000000001</v>
      </c>
      <c r="L292" s="2">
        <v>112.8</v>
      </c>
      <c r="M292" s="2">
        <v>164.2</v>
      </c>
      <c r="N292" s="2">
        <v>155.5</v>
      </c>
      <c r="O292" s="2">
        <v>167.5</v>
      </c>
      <c r="P292" s="2">
        <v>156.9</v>
      </c>
      <c r="Q292" s="2">
        <v>188.3</v>
      </c>
      <c r="R292" s="2">
        <v>157.19999999999999</v>
      </c>
      <c r="S292" s="2">
        <v>147.4</v>
      </c>
      <c r="T292" s="2">
        <v>155.80000000000001</v>
      </c>
      <c r="U292" s="2">
        <v>159.80000000000001</v>
      </c>
      <c r="V292" s="2">
        <v>152.4</v>
      </c>
      <c r="W292" s="2">
        <v>150.9</v>
      </c>
      <c r="X292" s="2">
        <v>161.30000000000001</v>
      </c>
      <c r="Y292" s="2">
        <v>145.1</v>
      </c>
      <c r="Z292" s="2">
        <v>151.5</v>
      </c>
      <c r="AA292" s="2">
        <v>159.5</v>
      </c>
      <c r="AB292" s="2">
        <v>155.80000000000001</v>
      </c>
      <c r="AC292" s="2">
        <v>153.4</v>
      </c>
      <c r="AD292" s="2">
        <v>156.6</v>
      </c>
    </row>
    <row r="293" spans="1:30" ht="14.4" x14ac:dyDescent="0.3">
      <c r="A293" s="2" t="s">
        <v>30</v>
      </c>
      <c r="B293" s="2">
        <v>2021</v>
      </c>
      <c r="C293" s="2" t="s">
        <v>36</v>
      </c>
      <c r="D293" s="2">
        <v>142.5</v>
      </c>
      <c r="E293" s="2">
        <v>189.4</v>
      </c>
      <c r="F293" s="2">
        <v>163.19999999999999</v>
      </c>
      <c r="G293" s="2">
        <v>154.5</v>
      </c>
      <c r="H293" s="2">
        <v>168.2</v>
      </c>
      <c r="I293" s="2">
        <v>150.5</v>
      </c>
      <c r="J293" s="2">
        <v>141</v>
      </c>
      <c r="K293" s="2">
        <v>159.19999999999999</v>
      </c>
      <c r="L293" s="2">
        <v>111.7</v>
      </c>
      <c r="M293" s="2">
        <v>164</v>
      </c>
      <c r="N293" s="2">
        <v>160.6</v>
      </c>
      <c r="O293" s="2">
        <v>166.4</v>
      </c>
      <c r="P293" s="2">
        <v>154.5</v>
      </c>
      <c r="Q293" s="2">
        <v>186.1</v>
      </c>
      <c r="R293" s="2">
        <v>159.6</v>
      </c>
      <c r="S293" s="2">
        <v>154.4</v>
      </c>
      <c r="T293" s="2">
        <v>158.9</v>
      </c>
      <c r="U293" s="2" t="s">
        <v>47</v>
      </c>
      <c r="V293" s="2">
        <v>156</v>
      </c>
      <c r="W293" s="2">
        <v>154.80000000000001</v>
      </c>
      <c r="X293" s="2">
        <v>164.6</v>
      </c>
      <c r="Y293" s="2">
        <v>151.30000000000001</v>
      </c>
      <c r="Z293" s="2">
        <v>157.80000000000001</v>
      </c>
      <c r="AA293" s="2">
        <v>163.80000000000001</v>
      </c>
      <c r="AB293" s="2">
        <v>153.1</v>
      </c>
      <c r="AC293" s="2">
        <v>157.30000000000001</v>
      </c>
      <c r="AD293" s="2">
        <v>156.69999999999999</v>
      </c>
    </row>
    <row r="294" spans="1:30" ht="14.4" x14ac:dyDescent="0.3">
      <c r="A294" s="2" t="s">
        <v>33</v>
      </c>
      <c r="B294" s="2">
        <v>2021</v>
      </c>
      <c r="C294" s="2" t="s">
        <v>36</v>
      </c>
      <c r="D294" s="2">
        <v>147.5</v>
      </c>
      <c r="E294" s="2">
        <v>197.5</v>
      </c>
      <c r="F294" s="2">
        <v>164.7</v>
      </c>
      <c r="G294" s="2">
        <v>155.6</v>
      </c>
      <c r="H294" s="2">
        <v>156.4</v>
      </c>
      <c r="I294" s="2">
        <v>157.30000000000001</v>
      </c>
      <c r="J294" s="2">
        <v>166.1</v>
      </c>
      <c r="K294" s="2">
        <v>161.1</v>
      </c>
      <c r="L294" s="2">
        <v>114.3</v>
      </c>
      <c r="M294" s="2">
        <v>162.6</v>
      </c>
      <c r="N294" s="2">
        <v>150.69999999999999</v>
      </c>
      <c r="O294" s="2">
        <v>170.3</v>
      </c>
      <c r="P294" s="2">
        <v>160.4</v>
      </c>
      <c r="Q294" s="2">
        <v>193.5</v>
      </c>
      <c r="R294" s="2">
        <v>155.1</v>
      </c>
      <c r="S294" s="2">
        <v>138.69999999999999</v>
      </c>
      <c r="T294" s="2">
        <v>152.6</v>
      </c>
      <c r="U294" s="2">
        <v>159.9</v>
      </c>
      <c r="V294" s="2">
        <v>154.80000000000001</v>
      </c>
      <c r="W294" s="2">
        <v>147.19999999999999</v>
      </c>
      <c r="X294" s="2">
        <v>156.9</v>
      </c>
      <c r="Y294" s="2">
        <v>141.69999999999999</v>
      </c>
      <c r="Z294" s="2">
        <v>148.6</v>
      </c>
      <c r="AA294" s="2">
        <v>157.6</v>
      </c>
      <c r="AB294" s="2">
        <v>154.9</v>
      </c>
      <c r="AC294" s="2">
        <v>150</v>
      </c>
      <c r="AD294" s="2">
        <v>156.9</v>
      </c>
    </row>
    <row r="295" spans="1:30" ht="14.4" x14ac:dyDescent="0.3">
      <c r="A295" s="2" t="s">
        <v>34</v>
      </c>
      <c r="B295" s="2">
        <v>2021</v>
      </c>
      <c r="C295" s="2" t="s">
        <v>36</v>
      </c>
      <c r="D295" s="2">
        <v>144.1</v>
      </c>
      <c r="E295" s="2">
        <v>192.2</v>
      </c>
      <c r="F295" s="2">
        <v>163.80000000000001</v>
      </c>
      <c r="G295" s="2">
        <v>154.9</v>
      </c>
      <c r="H295" s="2">
        <v>163.9</v>
      </c>
      <c r="I295" s="2">
        <v>153.69999999999999</v>
      </c>
      <c r="J295" s="2">
        <v>149.5</v>
      </c>
      <c r="K295" s="2">
        <v>159.80000000000001</v>
      </c>
      <c r="L295" s="2">
        <v>112.6</v>
      </c>
      <c r="M295" s="2">
        <v>163.5</v>
      </c>
      <c r="N295" s="2">
        <v>156.5</v>
      </c>
      <c r="O295" s="2">
        <v>168.2</v>
      </c>
      <c r="P295" s="2">
        <v>156.69999999999999</v>
      </c>
      <c r="Q295" s="2">
        <v>188.1</v>
      </c>
      <c r="R295" s="2">
        <v>157.80000000000001</v>
      </c>
      <c r="S295" s="2">
        <v>147.9</v>
      </c>
      <c r="T295" s="2">
        <v>156.4</v>
      </c>
      <c r="U295" s="2">
        <v>159.9</v>
      </c>
      <c r="V295" s="2">
        <v>155.5</v>
      </c>
      <c r="W295" s="2">
        <v>151.19999999999999</v>
      </c>
      <c r="X295" s="2">
        <v>161.69999999999999</v>
      </c>
      <c r="Y295" s="2">
        <v>146.19999999999999</v>
      </c>
      <c r="Z295" s="2">
        <v>152.6</v>
      </c>
      <c r="AA295" s="2">
        <v>160.19999999999999</v>
      </c>
      <c r="AB295" s="2">
        <v>153.80000000000001</v>
      </c>
      <c r="AC295" s="2">
        <v>153.80000000000001</v>
      </c>
      <c r="AD295" s="2">
        <v>156.80000000000001</v>
      </c>
    </row>
    <row r="296" spans="1:30" ht="14.4" x14ac:dyDescent="0.3">
      <c r="A296" s="2" t="s">
        <v>30</v>
      </c>
      <c r="B296" s="2">
        <v>2021</v>
      </c>
      <c r="C296" s="2" t="s">
        <v>37</v>
      </c>
      <c r="D296" s="2">
        <v>142.69999999999999</v>
      </c>
      <c r="E296" s="2">
        <v>195.5</v>
      </c>
      <c r="F296" s="2">
        <v>163.4</v>
      </c>
      <c r="G296" s="2">
        <v>155</v>
      </c>
      <c r="H296" s="2">
        <v>175.2</v>
      </c>
      <c r="I296" s="2">
        <v>160.6</v>
      </c>
      <c r="J296" s="2">
        <v>135.1</v>
      </c>
      <c r="K296" s="2">
        <v>161.1</v>
      </c>
      <c r="L296" s="2">
        <v>112.2</v>
      </c>
      <c r="M296" s="2">
        <v>164.4</v>
      </c>
      <c r="N296" s="2">
        <v>161.9</v>
      </c>
      <c r="O296" s="2">
        <v>166.8</v>
      </c>
      <c r="P296" s="2">
        <v>155.6</v>
      </c>
      <c r="Q296" s="2">
        <v>186.8</v>
      </c>
      <c r="R296" s="2">
        <v>160.69999999999999</v>
      </c>
      <c r="S296" s="2">
        <v>155.1</v>
      </c>
      <c r="T296" s="2">
        <v>159.9</v>
      </c>
      <c r="U296" s="2" t="s">
        <v>47</v>
      </c>
      <c r="V296" s="2">
        <v>156</v>
      </c>
      <c r="W296" s="2">
        <v>155.5</v>
      </c>
      <c r="X296" s="2">
        <v>165.3</v>
      </c>
      <c r="Y296" s="2">
        <v>151.69999999999999</v>
      </c>
      <c r="Z296" s="2">
        <v>158.6</v>
      </c>
      <c r="AA296" s="2">
        <v>164.1</v>
      </c>
      <c r="AB296" s="2">
        <v>154.6</v>
      </c>
      <c r="AC296" s="2">
        <v>158</v>
      </c>
      <c r="AD296" s="2">
        <v>157.6</v>
      </c>
    </row>
    <row r="297" spans="1:30" ht="14.4" x14ac:dyDescent="0.3">
      <c r="A297" s="2" t="s">
        <v>33</v>
      </c>
      <c r="B297" s="2">
        <v>2021</v>
      </c>
      <c r="C297" s="2" t="s">
        <v>37</v>
      </c>
      <c r="D297" s="2">
        <v>147.6</v>
      </c>
      <c r="E297" s="2">
        <v>202.5</v>
      </c>
      <c r="F297" s="2">
        <v>166.4</v>
      </c>
      <c r="G297" s="2">
        <v>156</v>
      </c>
      <c r="H297" s="2">
        <v>161.4</v>
      </c>
      <c r="I297" s="2">
        <v>168.8</v>
      </c>
      <c r="J297" s="2">
        <v>161.6</v>
      </c>
      <c r="K297" s="2">
        <v>162.80000000000001</v>
      </c>
      <c r="L297" s="2">
        <v>114.8</v>
      </c>
      <c r="M297" s="2">
        <v>162.80000000000001</v>
      </c>
      <c r="N297" s="2">
        <v>151.5</v>
      </c>
      <c r="O297" s="2">
        <v>171.4</v>
      </c>
      <c r="P297" s="2">
        <v>162</v>
      </c>
      <c r="Q297" s="2">
        <v>194.4</v>
      </c>
      <c r="R297" s="2">
        <v>155.9</v>
      </c>
      <c r="S297" s="2">
        <v>139.30000000000001</v>
      </c>
      <c r="T297" s="2">
        <v>153.4</v>
      </c>
      <c r="U297" s="2">
        <v>161.4</v>
      </c>
      <c r="V297" s="2">
        <v>154.9</v>
      </c>
      <c r="W297" s="2">
        <v>147.6</v>
      </c>
      <c r="X297" s="2">
        <v>157.5</v>
      </c>
      <c r="Y297" s="2">
        <v>142.1</v>
      </c>
      <c r="Z297" s="2">
        <v>149.1</v>
      </c>
      <c r="AA297" s="2">
        <v>157.6</v>
      </c>
      <c r="AB297" s="2">
        <v>156.6</v>
      </c>
      <c r="AC297" s="2">
        <v>150.5</v>
      </c>
      <c r="AD297" s="2">
        <v>158</v>
      </c>
    </row>
    <row r="298" spans="1:30" ht="14.4" x14ac:dyDescent="0.3">
      <c r="A298" s="2" t="s">
        <v>34</v>
      </c>
      <c r="B298" s="2">
        <v>2021</v>
      </c>
      <c r="C298" s="2" t="s">
        <v>37</v>
      </c>
      <c r="D298" s="2">
        <v>144.30000000000001</v>
      </c>
      <c r="E298" s="2">
        <v>198</v>
      </c>
      <c r="F298" s="2">
        <v>164.6</v>
      </c>
      <c r="G298" s="2">
        <v>155.4</v>
      </c>
      <c r="H298" s="2">
        <v>170.1</v>
      </c>
      <c r="I298" s="2">
        <v>164.4</v>
      </c>
      <c r="J298" s="2">
        <v>144.1</v>
      </c>
      <c r="K298" s="2">
        <v>161.69999999999999</v>
      </c>
      <c r="L298" s="2">
        <v>113.1</v>
      </c>
      <c r="M298" s="2">
        <v>163.9</v>
      </c>
      <c r="N298" s="2">
        <v>157.6</v>
      </c>
      <c r="O298" s="2">
        <v>168.9</v>
      </c>
      <c r="P298" s="2">
        <v>158</v>
      </c>
      <c r="Q298" s="2">
        <v>188.8</v>
      </c>
      <c r="R298" s="2">
        <v>158.80000000000001</v>
      </c>
      <c r="S298" s="2">
        <v>148.5</v>
      </c>
      <c r="T298" s="2">
        <v>157.30000000000001</v>
      </c>
      <c r="U298" s="2">
        <v>161.4</v>
      </c>
      <c r="V298" s="2">
        <v>155.6</v>
      </c>
      <c r="W298" s="2">
        <v>151.80000000000001</v>
      </c>
      <c r="X298" s="2">
        <v>162.30000000000001</v>
      </c>
      <c r="Y298" s="2">
        <v>146.6</v>
      </c>
      <c r="Z298" s="2">
        <v>153.19999999999999</v>
      </c>
      <c r="AA298" s="2">
        <v>160.30000000000001</v>
      </c>
      <c r="AB298" s="2">
        <v>155.4</v>
      </c>
      <c r="AC298" s="2">
        <v>154.4</v>
      </c>
      <c r="AD298" s="2">
        <v>157.80000000000001</v>
      </c>
    </row>
    <row r="299" spans="1:30" ht="14.4" x14ac:dyDescent="0.3">
      <c r="A299" s="2" t="s">
        <v>30</v>
      </c>
      <c r="B299" s="2">
        <v>2021</v>
      </c>
      <c r="C299" s="2" t="s">
        <v>38</v>
      </c>
      <c r="D299" s="2">
        <v>145.1</v>
      </c>
      <c r="E299" s="2">
        <v>198.5</v>
      </c>
      <c r="F299" s="2">
        <v>168.6</v>
      </c>
      <c r="G299" s="2">
        <v>155.80000000000001</v>
      </c>
      <c r="H299" s="2">
        <v>184.4</v>
      </c>
      <c r="I299" s="2">
        <v>162.30000000000001</v>
      </c>
      <c r="J299" s="2">
        <v>138.4</v>
      </c>
      <c r="K299" s="2">
        <v>165.1</v>
      </c>
      <c r="L299" s="2">
        <v>114.3</v>
      </c>
      <c r="M299" s="2">
        <v>169.7</v>
      </c>
      <c r="N299" s="2">
        <v>164.6</v>
      </c>
      <c r="O299" s="2">
        <v>169.8</v>
      </c>
      <c r="P299" s="2">
        <v>158.69999999999999</v>
      </c>
      <c r="Q299" s="2">
        <v>189.6</v>
      </c>
      <c r="R299" s="2">
        <v>165.3</v>
      </c>
      <c r="S299" s="2">
        <v>160.6</v>
      </c>
      <c r="T299" s="2">
        <v>164.5</v>
      </c>
      <c r="U299" s="2" t="s">
        <v>32</v>
      </c>
      <c r="V299" s="2">
        <v>161.69999999999999</v>
      </c>
      <c r="W299" s="2">
        <v>158.80000000000001</v>
      </c>
      <c r="X299" s="2">
        <v>169.1</v>
      </c>
      <c r="Y299" s="2">
        <v>153.19999999999999</v>
      </c>
      <c r="Z299" s="2">
        <v>160</v>
      </c>
      <c r="AA299" s="2">
        <v>167.6</v>
      </c>
      <c r="AB299" s="2">
        <v>159.30000000000001</v>
      </c>
      <c r="AC299" s="2">
        <v>161.1</v>
      </c>
      <c r="AD299" s="2">
        <v>161.1</v>
      </c>
    </row>
    <row r="300" spans="1:30" ht="14.4" x14ac:dyDescent="0.3">
      <c r="A300" s="2" t="s">
        <v>33</v>
      </c>
      <c r="B300" s="2">
        <v>2021</v>
      </c>
      <c r="C300" s="2" t="s">
        <v>38</v>
      </c>
      <c r="D300" s="2">
        <v>148.80000000000001</v>
      </c>
      <c r="E300" s="2">
        <v>204.3</v>
      </c>
      <c r="F300" s="2">
        <v>173</v>
      </c>
      <c r="G300" s="2">
        <v>156.5</v>
      </c>
      <c r="H300" s="2">
        <v>168.8</v>
      </c>
      <c r="I300" s="2">
        <v>172.5</v>
      </c>
      <c r="J300" s="2">
        <v>166.5</v>
      </c>
      <c r="K300" s="2">
        <v>165.9</v>
      </c>
      <c r="L300" s="2">
        <v>115.9</v>
      </c>
      <c r="M300" s="2">
        <v>165.2</v>
      </c>
      <c r="N300" s="2">
        <v>152</v>
      </c>
      <c r="O300" s="2">
        <v>171.1</v>
      </c>
      <c r="P300" s="2">
        <v>164.2</v>
      </c>
      <c r="Q300" s="2">
        <v>198.2</v>
      </c>
      <c r="R300" s="2">
        <v>156.5</v>
      </c>
      <c r="S300" s="2">
        <v>140.19999999999999</v>
      </c>
      <c r="T300" s="2">
        <v>154.1</v>
      </c>
      <c r="U300" s="2">
        <v>161.6</v>
      </c>
      <c r="V300" s="2">
        <v>155.5</v>
      </c>
      <c r="W300" s="2">
        <v>150.1</v>
      </c>
      <c r="X300" s="2">
        <v>160.4</v>
      </c>
      <c r="Y300" s="2">
        <v>145</v>
      </c>
      <c r="Z300" s="2">
        <v>152.6</v>
      </c>
      <c r="AA300" s="2">
        <v>156.6</v>
      </c>
      <c r="AB300" s="2">
        <v>157.5</v>
      </c>
      <c r="AC300" s="2">
        <v>152.30000000000001</v>
      </c>
      <c r="AD300" s="2">
        <v>159.5</v>
      </c>
    </row>
    <row r="301" spans="1:30" ht="14.4" x14ac:dyDescent="0.3">
      <c r="A301" s="2" t="s">
        <v>34</v>
      </c>
      <c r="B301" s="2">
        <v>2021</v>
      </c>
      <c r="C301" s="2" t="s">
        <v>38</v>
      </c>
      <c r="D301" s="2">
        <v>146.30000000000001</v>
      </c>
      <c r="E301" s="2">
        <v>200.5</v>
      </c>
      <c r="F301" s="2">
        <v>170.3</v>
      </c>
      <c r="G301" s="2">
        <v>156.1</v>
      </c>
      <c r="H301" s="2">
        <v>178.7</v>
      </c>
      <c r="I301" s="2">
        <v>167.1</v>
      </c>
      <c r="J301" s="2">
        <v>147.9</v>
      </c>
      <c r="K301" s="2">
        <v>165.4</v>
      </c>
      <c r="L301" s="2">
        <v>114.8</v>
      </c>
      <c r="M301" s="2">
        <v>168.2</v>
      </c>
      <c r="N301" s="2">
        <v>159.30000000000001</v>
      </c>
      <c r="O301" s="2">
        <v>170.4</v>
      </c>
      <c r="P301" s="2">
        <v>160.69999999999999</v>
      </c>
      <c r="Q301" s="2">
        <v>191.9</v>
      </c>
      <c r="R301" s="2">
        <v>161.80000000000001</v>
      </c>
      <c r="S301" s="2">
        <v>152.1</v>
      </c>
      <c r="T301" s="2">
        <v>160.4</v>
      </c>
      <c r="U301" s="2">
        <v>161.6</v>
      </c>
      <c r="V301" s="2">
        <v>159.4</v>
      </c>
      <c r="W301" s="2">
        <v>154.69999999999999</v>
      </c>
      <c r="X301" s="2">
        <v>165.8</v>
      </c>
      <c r="Y301" s="2">
        <v>148.9</v>
      </c>
      <c r="Z301" s="2">
        <v>155.80000000000001</v>
      </c>
      <c r="AA301" s="2">
        <v>161.19999999999999</v>
      </c>
      <c r="AB301" s="2">
        <v>158.6</v>
      </c>
      <c r="AC301" s="2">
        <v>156.80000000000001</v>
      </c>
      <c r="AD301" s="2">
        <v>160.4</v>
      </c>
    </row>
    <row r="302" spans="1:30" ht="14.4" x14ac:dyDescent="0.3">
      <c r="A302" s="2" t="s">
        <v>30</v>
      </c>
      <c r="B302" s="2">
        <v>2021</v>
      </c>
      <c r="C302" s="2" t="s">
        <v>39</v>
      </c>
      <c r="D302" s="2">
        <v>145.6</v>
      </c>
      <c r="E302" s="2">
        <v>200.1</v>
      </c>
      <c r="F302" s="2">
        <v>179.3</v>
      </c>
      <c r="G302" s="2">
        <v>156.1</v>
      </c>
      <c r="H302" s="2">
        <v>190.4</v>
      </c>
      <c r="I302" s="2">
        <v>158.6</v>
      </c>
      <c r="J302" s="2">
        <v>144.69999999999999</v>
      </c>
      <c r="K302" s="2">
        <v>165.5</v>
      </c>
      <c r="L302" s="2">
        <v>114.6</v>
      </c>
      <c r="M302" s="2">
        <v>170</v>
      </c>
      <c r="N302" s="2">
        <v>165.5</v>
      </c>
      <c r="O302" s="2">
        <v>171.7</v>
      </c>
      <c r="P302" s="2">
        <v>160.5</v>
      </c>
      <c r="Q302" s="2">
        <v>189.1</v>
      </c>
      <c r="R302" s="2">
        <v>165.3</v>
      </c>
      <c r="S302" s="2">
        <v>159.9</v>
      </c>
      <c r="T302" s="2">
        <v>164.6</v>
      </c>
      <c r="U302" s="2" t="s">
        <v>32</v>
      </c>
      <c r="V302" s="2">
        <v>162.1</v>
      </c>
      <c r="W302" s="2">
        <v>159.19999999999999</v>
      </c>
      <c r="X302" s="2">
        <v>169.7</v>
      </c>
      <c r="Y302" s="2">
        <v>154.19999999999999</v>
      </c>
      <c r="Z302" s="2">
        <v>160.4</v>
      </c>
      <c r="AA302" s="2">
        <v>166.8</v>
      </c>
      <c r="AB302" s="2">
        <v>159.4</v>
      </c>
      <c r="AC302" s="2">
        <v>161.5</v>
      </c>
      <c r="AD302" s="2">
        <v>162.1</v>
      </c>
    </row>
    <row r="303" spans="1:30" ht="14.4" x14ac:dyDescent="0.3">
      <c r="A303" s="2" t="s">
        <v>33</v>
      </c>
      <c r="B303" s="2">
        <v>2021</v>
      </c>
      <c r="C303" s="2" t="s">
        <v>39</v>
      </c>
      <c r="D303" s="2">
        <v>149.19999999999999</v>
      </c>
      <c r="E303" s="2">
        <v>205.5</v>
      </c>
      <c r="F303" s="2">
        <v>182.8</v>
      </c>
      <c r="G303" s="2">
        <v>156.5</v>
      </c>
      <c r="H303" s="2">
        <v>172.2</v>
      </c>
      <c r="I303" s="2">
        <v>171.5</v>
      </c>
      <c r="J303" s="2">
        <v>176.2</v>
      </c>
      <c r="K303" s="2">
        <v>166.9</v>
      </c>
      <c r="L303" s="2">
        <v>116.1</v>
      </c>
      <c r="M303" s="2">
        <v>165.5</v>
      </c>
      <c r="N303" s="2">
        <v>152.30000000000001</v>
      </c>
      <c r="O303" s="2">
        <v>173.3</v>
      </c>
      <c r="P303" s="2">
        <v>166.2</v>
      </c>
      <c r="Q303" s="2">
        <v>195.6</v>
      </c>
      <c r="R303" s="2">
        <v>157.30000000000001</v>
      </c>
      <c r="S303" s="2">
        <v>140.5</v>
      </c>
      <c r="T303" s="2">
        <v>154.80000000000001</v>
      </c>
      <c r="U303" s="2">
        <v>160.5</v>
      </c>
      <c r="V303" s="2">
        <v>156.1</v>
      </c>
      <c r="W303" s="2">
        <v>149.80000000000001</v>
      </c>
      <c r="X303" s="2">
        <v>160.80000000000001</v>
      </c>
      <c r="Y303" s="2">
        <v>147.5</v>
      </c>
      <c r="Z303" s="2">
        <v>150.69999999999999</v>
      </c>
      <c r="AA303" s="2">
        <v>158.1</v>
      </c>
      <c r="AB303" s="2">
        <v>158</v>
      </c>
      <c r="AC303" s="2">
        <v>153.4</v>
      </c>
      <c r="AD303" s="2">
        <v>160.4</v>
      </c>
    </row>
    <row r="304" spans="1:30" ht="14.4" x14ac:dyDescent="0.3">
      <c r="A304" s="2" t="s">
        <v>34</v>
      </c>
      <c r="B304" s="2">
        <v>2021</v>
      </c>
      <c r="C304" s="2" t="s">
        <v>39</v>
      </c>
      <c r="D304" s="2">
        <v>146.69999999999999</v>
      </c>
      <c r="E304" s="2">
        <v>202</v>
      </c>
      <c r="F304" s="2">
        <v>180.7</v>
      </c>
      <c r="G304" s="2">
        <v>156.19999999999999</v>
      </c>
      <c r="H304" s="2">
        <v>183.7</v>
      </c>
      <c r="I304" s="2">
        <v>164.6</v>
      </c>
      <c r="J304" s="2">
        <v>155.4</v>
      </c>
      <c r="K304" s="2">
        <v>166</v>
      </c>
      <c r="L304" s="2">
        <v>115.1</v>
      </c>
      <c r="M304" s="2">
        <v>168.5</v>
      </c>
      <c r="N304" s="2">
        <v>160</v>
      </c>
      <c r="O304" s="2">
        <v>172.4</v>
      </c>
      <c r="P304" s="2">
        <v>162.6</v>
      </c>
      <c r="Q304" s="2">
        <v>190.8</v>
      </c>
      <c r="R304" s="2">
        <v>162.19999999999999</v>
      </c>
      <c r="S304" s="2">
        <v>151.80000000000001</v>
      </c>
      <c r="T304" s="2">
        <v>160.69999999999999</v>
      </c>
      <c r="U304" s="2">
        <v>160.5</v>
      </c>
      <c r="V304" s="2">
        <v>159.80000000000001</v>
      </c>
      <c r="W304" s="2">
        <v>154.80000000000001</v>
      </c>
      <c r="X304" s="2">
        <v>166.3</v>
      </c>
      <c r="Y304" s="2">
        <v>150.69999999999999</v>
      </c>
      <c r="Z304" s="2">
        <v>154.9</v>
      </c>
      <c r="AA304" s="2">
        <v>161.69999999999999</v>
      </c>
      <c r="AB304" s="2">
        <v>158.80000000000001</v>
      </c>
      <c r="AC304" s="2">
        <v>157.6</v>
      </c>
      <c r="AD304" s="2">
        <v>161.30000000000001</v>
      </c>
    </row>
    <row r="305" spans="1:30" ht="14.4" x14ac:dyDescent="0.3">
      <c r="A305" s="2" t="s">
        <v>30</v>
      </c>
      <c r="B305" s="2">
        <v>2021</v>
      </c>
      <c r="C305" s="2" t="s">
        <v>40</v>
      </c>
      <c r="D305" s="2">
        <v>145.1</v>
      </c>
      <c r="E305" s="2">
        <v>204.5</v>
      </c>
      <c r="F305" s="2">
        <v>180.4</v>
      </c>
      <c r="G305" s="2">
        <v>157.1</v>
      </c>
      <c r="H305" s="2">
        <v>188.7</v>
      </c>
      <c r="I305" s="2">
        <v>157.69999999999999</v>
      </c>
      <c r="J305" s="2">
        <v>152.80000000000001</v>
      </c>
      <c r="K305" s="2">
        <v>163.6</v>
      </c>
      <c r="L305" s="2">
        <v>113.9</v>
      </c>
      <c r="M305" s="2">
        <v>169.7</v>
      </c>
      <c r="N305" s="2">
        <v>166.2</v>
      </c>
      <c r="O305" s="2">
        <v>171</v>
      </c>
      <c r="P305" s="2">
        <v>161.69999999999999</v>
      </c>
      <c r="Q305" s="2">
        <v>189.7</v>
      </c>
      <c r="R305" s="2">
        <v>166</v>
      </c>
      <c r="S305" s="2">
        <v>161.1</v>
      </c>
      <c r="T305" s="2">
        <v>165.3</v>
      </c>
      <c r="U305" s="2" t="s">
        <v>32</v>
      </c>
      <c r="V305" s="2">
        <v>162.5</v>
      </c>
      <c r="W305" s="2">
        <v>160.30000000000001</v>
      </c>
      <c r="X305" s="2">
        <v>170.4</v>
      </c>
      <c r="Y305" s="2">
        <v>157.1</v>
      </c>
      <c r="Z305" s="2">
        <v>160.69999999999999</v>
      </c>
      <c r="AA305" s="2">
        <v>167.2</v>
      </c>
      <c r="AB305" s="2">
        <v>160.4</v>
      </c>
      <c r="AC305" s="2">
        <v>162.80000000000001</v>
      </c>
      <c r="AD305" s="2">
        <v>163.19999999999999</v>
      </c>
    </row>
    <row r="306" spans="1:30" ht="14.4" x14ac:dyDescent="0.3">
      <c r="A306" s="2" t="s">
        <v>33</v>
      </c>
      <c r="B306" s="2">
        <v>2021</v>
      </c>
      <c r="C306" s="2" t="s">
        <v>40</v>
      </c>
      <c r="D306" s="2">
        <v>149.1</v>
      </c>
      <c r="E306" s="2">
        <v>210.9</v>
      </c>
      <c r="F306" s="2">
        <v>185</v>
      </c>
      <c r="G306" s="2">
        <v>158.19999999999999</v>
      </c>
      <c r="H306" s="2">
        <v>170.6</v>
      </c>
      <c r="I306" s="2">
        <v>170.9</v>
      </c>
      <c r="J306" s="2">
        <v>186.4</v>
      </c>
      <c r="K306" s="2">
        <v>164.7</v>
      </c>
      <c r="L306" s="2">
        <v>115.7</v>
      </c>
      <c r="M306" s="2">
        <v>165.5</v>
      </c>
      <c r="N306" s="2">
        <v>153.4</v>
      </c>
      <c r="O306" s="2">
        <v>173.5</v>
      </c>
      <c r="P306" s="2">
        <v>167.9</v>
      </c>
      <c r="Q306" s="2">
        <v>195.5</v>
      </c>
      <c r="R306" s="2">
        <v>157.9</v>
      </c>
      <c r="S306" s="2">
        <v>141.9</v>
      </c>
      <c r="T306" s="2">
        <v>155.5</v>
      </c>
      <c r="U306" s="2">
        <v>161.5</v>
      </c>
      <c r="V306" s="2">
        <v>157.69999999999999</v>
      </c>
      <c r="W306" s="2">
        <v>150.69999999999999</v>
      </c>
      <c r="X306" s="2">
        <v>161.5</v>
      </c>
      <c r="Y306" s="2">
        <v>149.5</v>
      </c>
      <c r="Z306" s="2">
        <v>151.19999999999999</v>
      </c>
      <c r="AA306" s="2">
        <v>160.30000000000001</v>
      </c>
      <c r="AB306" s="2">
        <v>159.6</v>
      </c>
      <c r="AC306" s="2">
        <v>155</v>
      </c>
      <c r="AD306" s="2">
        <v>161.80000000000001</v>
      </c>
    </row>
    <row r="307" spans="1:30" ht="14.4" x14ac:dyDescent="0.3">
      <c r="A307" s="2" t="s">
        <v>34</v>
      </c>
      <c r="B307" s="2">
        <v>2021</v>
      </c>
      <c r="C307" s="2" t="s">
        <v>40</v>
      </c>
      <c r="D307" s="2">
        <v>146.4</v>
      </c>
      <c r="E307" s="2">
        <v>206.8</v>
      </c>
      <c r="F307" s="2">
        <v>182.2</v>
      </c>
      <c r="G307" s="2">
        <v>157.5</v>
      </c>
      <c r="H307" s="2">
        <v>182.1</v>
      </c>
      <c r="I307" s="2">
        <v>163.9</v>
      </c>
      <c r="J307" s="2">
        <v>164.2</v>
      </c>
      <c r="K307" s="2">
        <v>164</v>
      </c>
      <c r="L307" s="2">
        <v>114.5</v>
      </c>
      <c r="M307" s="2">
        <v>168.3</v>
      </c>
      <c r="N307" s="2">
        <v>160.9</v>
      </c>
      <c r="O307" s="2">
        <v>172.2</v>
      </c>
      <c r="P307" s="2">
        <v>164</v>
      </c>
      <c r="Q307" s="2">
        <v>191.2</v>
      </c>
      <c r="R307" s="2">
        <v>162.80000000000001</v>
      </c>
      <c r="S307" s="2">
        <v>153.1</v>
      </c>
      <c r="T307" s="2">
        <v>161.4</v>
      </c>
      <c r="U307" s="2">
        <v>161.5</v>
      </c>
      <c r="V307" s="2">
        <v>160.69999999999999</v>
      </c>
      <c r="W307" s="2">
        <v>155.80000000000001</v>
      </c>
      <c r="X307" s="2">
        <v>167</v>
      </c>
      <c r="Y307" s="2">
        <v>153.1</v>
      </c>
      <c r="Z307" s="2">
        <v>155.30000000000001</v>
      </c>
      <c r="AA307" s="2">
        <v>163.19999999999999</v>
      </c>
      <c r="AB307" s="2">
        <v>160.1</v>
      </c>
      <c r="AC307" s="2">
        <v>159</v>
      </c>
      <c r="AD307" s="2">
        <v>162.5</v>
      </c>
    </row>
    <row r="308" spans="1:30" ht="14.4" x14ac:dyDescent="0.3">
      <c r="A308" s="2" t="s">
        <v>30</v>
      </c>
      <c r="B308" s="2">
        <v>2021</v>
      </c>
      <c r="C308" s="2" t="s">
        <v>41</v>
      </c>
      <c r="D308" s="2">
        <v>144.9</v>
      </c>
      <c r="E308" s="2">
        <v>202.3</v>
      </c>
      <c r="F308" s="2">
        <v>176.5</v>
      </c>
      <c r="G308" s="2">
        <v>157.5</v>
      </c>
      <c r="H308" s="2">
        <v>190.9</v>
      </c>
      <c r="I308" s="2">
        <v>155.69999999999999</v>
      </c>
      <c r="J308" s="2">
        <v>153.9</v>
      </c>
      <c r="K308" s="2">
        <v>162.80000000000001</v>
      </c>
      <c r="L308" s="2">
        <v>115.2</v>
      </c>
      <c r="M308" s="2">
        <v>169.8</v>
      </c>
      <c r="N308" s="2">
        <v>167.6</v>
      </c>
      <c r="O308" s="2">
        <v>171.9</v>
      </c>
      <c r="P308" s="2">
        <v>161.80000000000001</v>
      </c>
      <c r="Q308" s="2">
        <v>190.2</v>
      </c>
      <c r="R308" s="2">
        <v>167</v>
      </c>
      <c r="S308" s="2">
        <v>162.6</v>
      </c>
      <c r="T308" s="2">
        <v>166.3</v>
      </c>
      <c r="U308" s="2" t="s">
        <v>32</v>
      </c>
      <c r="V308" s="2">
        <v>163.1</v>
      </c>
      <c r="W308" s="2">
        <v>160.9</v>
      </c>
      <c r="X308" s="2">
        <v>171.1</v>
      </c>
      <c r="Y308" s="2">
        <v>157.69999999999999</v>
      </c>
      <c r="Z308" s="2">
        <v>161.1</v>
      </c>
      <c r="AA308" s="2">
        <v>167.5</v>
      </c>
      <c r="AB308" s="2">
        <v>160.30000000000001</v>
      </c>
      <c r="AC308" s="2">
        <v>163.30000000000001</v>
      </c>
      <c r="AD308" s="2">
        <v>163.6</v>
      </c>
    </row>
    <row r="309" spans="1:30" ht="14.4" x14ac:dyDescent="0.3">
      <c r="A309" s="2" t="s">
        <v>33</v>
      </c>
      <c r="B309" s="2">
        <v>2021</v>
      </c>
      <c r="C309" s="2" t="s">
        <v>41</v>
      </c>
      <c r="D309" s="2">
        <v>149.30000000000001</v>
      </c>
      <c r="E309" s="2">
        <v>207.4</v>
      </c>
      <c r="F309" s="2">
        <v>174.1</v>
      </c>
      <c r="G309" s="2">
        <v>159.19999999999999</v>
      </c>
      <c r="H309" s="2">
        <v>175</v>
      </c>
      <c r="I309" s="2">
        <v>161.30000000000001</v>
      </c>
      <c r="J309" s="2">
        <v>183.3</v>
      </c>
      <c r="K309" s="2">
        <v>164.5</v>
      </c>
      <c r="L309" s="2">
        <v>120.4</v>
      </c>
      <c r="M309" s="2">
        <v>166.2</v>
      </c>
      <c r="N309" s="2">
        <v>154.80000000000001</v>
      </c>
      <c r="O309" s="2">
        <v>175.1</v>
      </c>
      <c r="P309" s="2">
        <v>167.3</v>
      </c>
      <c r="Q309" s="2">
        <v>196.5</v>
      </c>
      <c r="R309" s="2">
        <v>159.80000000000001</v>
      </c>
      <c r="S309" s="2">
        <v>143.6</v>
      </c>
      <c r="T309" s="2">
        <v>157.30000000000001</v>
      </c>
      <c r="U309" s="2">
        <v>162.1</v>
      </c>
      <c r="V309" s="2">
        <v>160.69999999999999</v>
      </c>
      <c r="W309" s="2">
        <v>153.19999999999999</v>
      </c>
      <c r="X309" s="2">
        <v>162.80000000000001</v>
      </c>
      <c r="Y309" s="2">
        <v>150.4</v>
      </c>
      <c r="Z309" s="2">
        <v>153.69999999999999</v>
      </c>
      <c r="AA309" s="2">
        <v>160.4</v>
      </c>
      <c r="AB309" s="2">
        <v>159.6</v>
      </c>
      <c r="AC309" s="2">
        <v>156</v>
      </c>
      <c r="AD309" s="2">
        <v>162.30000000000001</v>
      </c>
    </row>
    <row r="310" spans="1:30" ht="14.4" x14ac:dyDescent="0.3">
      <c r="A310" s="2" t="s">
        <v>34</v>
      </c>
      <c r="B310" s="2">
        <v>2021</v>
      </c>
      <c r="C310" s="2" t="s">
        <v>41</v>
      </c>
      <c r="D310" s="2">
        <v>146.6</v>
      </c>
      <c r="E310" s="2">
        <v>204</v>
      </c>
      <c r="F310" s="2">
        <v>172.8</v>
      </c>
      <c r="G310" s="2">
        <v>158.4</v>
      </c>
      <c r="H310" s="2">
        <v>188</v>
      </c>
      <c r="I310" s="2">
        <v>156.80000000000001</v>
      </c>
      <c r="J310" s="2">
        <v>162.19999999999999</v>
      </c>
      <c r="K310" s="2">
        <v>164.1</v>
      </c>
      <c r="L310" s="2">
        <v>119.7</v>
      </c>
      <c r="M310" s="2">
        <v>168.8</v>
      </c>
      <c r="N310" s="2">
        <v>162.69999999999999</v>
      </c>
      <c r="O310" s="2">
        <v>173.9</v>
      </c>
      <c r="P310" s="2">
        <v>164</v>
      </c>
      <c r="Q310" s="2">
        <v>192.1</v>
      </c>
      <c r="R310" s="2">
        <v>164.5</v>
      </c>
      <c r="S310" s="2">
        <v>155.30000000000001</v>
      </c>
      <c r="T310" s="2">
        <v>163.19999999999999</v>
      </c>
      <c r="U310" s="2">
        <v>162.1</v>
      </c>
      <c r="V310" s="2">
        <v>162.6</v>
      </c>
      <c r="W310" s="2">
        <v>157.5</v>
      </c>
      <c r="X310" s="2">
        <v>168.4</v>
      </c>
      <c r="Y310" s="2">
        <v>154</v>
      </c>
      <c r="Z310" s="2">
        <v>157.6</v>
      </c>
      <c r="AA310" s="2">
        <v>163.80000000000001</v>
      </c>
      <c r="AB310" s="2">
        <v>160</v>
      </c>
      <c r="AC310" s="2">
        <v>160</v>
      </c>
      <c r="AD310" s="2">
        <v>163.19999999999999</v>
      </c>
    </row>
    <row r="311" spans="1:30" ht="14.4" x14ac:dyDescent="0.3">
      <c r="A311" s="2" t="s">
        <v>30</v>
      </c>
      <c r="B311" s="2">
        <v>2021</v>
      </c>
      <c r="C311" s="2" t="s">
        <v>42</v>
      </c>
      <c r="D311" s="2">
        <v>145.4</v>
      </c>
      <c r="E311" s="2">
        <v>202.1</v>
      </c>
      <c r="F311" s="2">
        <v>172</v>
      </c>
      <c r="G311" s="2">
        <v>158</v>
      </c>
      <c r="H311" s="2">
        <v>195.5</v>
      </c>
      <c r="I311" s="2">
        <v>152.69999999999999</v>
      </c>
      <c r="J311" s="2">
        <v>151.4</v>
      </c>
      <c r="K311" s="2">
        <v>163.9</v>
      </c>
      <c r="L311" s="2">
        <v>119.3</v>
      </c>
      <c r="M311" s="2">
        <v>170.1</v>
      </c>
      <c r="N311" s="2">
        <v>168.3</v>
      </c>
      <c r="O311" s="2">
        <v>172.8</v>
      </c>
      <c r="P311" s="2">
        <v>162.1</v>
      </c>
      <c r="Q311" s="2">
        <v>190.5</v>
      </c>
      <c r="R311" s="2">
        <v>167.7</v>
      </c>
      <c r="S311" s="2">
        <v>163.6</v>
      </c>
      <c r="T311" s="2">
        <v>167.1</v>
      </c>
      <c r="U311" s="2" t="s">
        <v>32</v>
      </c>
      <c r="V311" s="2">
        <v>163.69999999999999</v>
      </c>
      <c r="W311" s="2">
        <v>161.30000000000001</v>
      </c>
      <c r="X311" s="2">
        <v>171.9</v>
      </c>
      <c r="Y311" s="2">
        <v>157.80000000000001</v>
      </c>
      <c r="Z311" s="2">
        <v>162.69999999999999</v>
      </c>
      <c r="AA311" s="2">
        <v>168.5</v>
      </c>
      <c r="AB311" s="2">
        <v>160.19999999999999</v>
      </c>
      <c r="AC311" s="2">
        <v>163.80000000000001</v>
      </c>
      <c r="AD311" s="2">
        <v>164</v>
      </c>
    </row>
    <row r="312" spans="1:30" ht="14.4" x14ac:dyDescent="0.3">
      <c r="A312" s="2" t="s">
        <v>33</v>
      </c>
      <c r="B312" s="2">
        <v>2021</v>
      </c>
      <c r="C312" s="2" t="s">
        <v>42</v>
      </c>
      <c r="D312" s="2">
        <v>149.30000000000001</v>
      </c>
      <c r="E312" s="2">
        <v>207.4</v>
      </c>
      <c r="F312" s="2">
        <v>174.1</v>
      </c>
      <c r="G312" s="2">
        <v>159.1</v>
      </c>
      <c r="H312" s="2">
        <v>175</v>
      </c>
      <c r="I312" s="2">
        <v>161.19999999999999</v>
      </c>
      <c r="J312" s="2">
        <v>183.5</v>
      </c>
      <c r="K312" s="2">
        <v>164.5</v>
      </c>
      <c r="L312" s="2">
        <v>120.4</v>
      </c>
      <c r="M312" s="2">
        <v>166.2</v>
      </c>
      <c r="N312" s="2">
        <v>154.80000000000001</v>
      </c>
      <c r="O312" s="2">
        <v>175.1</v>
      </c>
      <c r="P312" s="2">
        <v>167.3</v>
      </c>
      <c r="Q312" s="2">
        <v>196.5</v>
      </c>
      <c r="R312" s="2">
        <v>159.80000000000001</v>
      </c>
      <c r="S312" s="2">
        <v>143.6</v>
      </c>
      <c r="T312" s="2">
        <v>157.4</v>
      </c>
      <c r="U312" s="2">
        <v>162.1</v>
      </c>
      <c r="V312" s="2">
        <v>160.80000000000001</v>
      </c>
      <c r="W312" s="2">
        <v>153.30000000000001</v>
      </c>
      <c r="X312" s="2">
        <v>162.80000000000001</v>
      </c>
      <c r="Y312" s="2">
        <v>150.5</v>
      </c>
      <c r="Z312" s="2">
        <v>153.9</v>
      </c>
      <c r="AA312" s="2">
        <v>160.30000000000001</v>
      </c>
      <c r="AB312" s="2">
        <v>159.6</v>
      </c>
      <c r="AC312" s="2">
        <v>156</v>
      </c>
      <c r="AD312" s="2">
        <v>162.30000000000001</v>
      </c>
    </row>
    <row r="313" spans="1:30" ht="14.4" x14ac:dyDescent="0.3">
      <c r="A313" s="2" t="s">
        <v>34</v>
      </c>
      <c r="B313" s="2">
        <v>2021</v>
      </c>
      <c r="C313" s="2" t="s">
        <v>42</v>
      </c>
      <c r="D313" s="2">
        <v>146.6</v>
      </c>
      <c r="E313" s="2">
        <v>204</v>
      </c>
      <c r="F313" s="2">
        <v>172.8</v>
      </c>
      <c r="G313" s="2">
        <v>158.4</v>
      </c>
      <c r="H313" s="2">
        <v>188</v>
      </c>
      <c r="I313" s="2">
        <v>156.69999999999999</v>
      </c>
      <c r="J313" s="2">
        <v>162.30000000000001</v>
      </c>
      <c r="K313" s="2">
        <v>164.1</v>
      </c>
      <c r="L313" s="2">
        <v>119.7</v>
      </c>
      <c r="M313" s="2">
        <v>168.8</v>
      </c>
      <c r="N313" s="2">
        <v>162.69999999999999</v>
      </c>
      <c r="O313" s="2">
        <v>173.9</v>
      </c>
      <c r="P313" s="2">
        <v>164</v>
      </c>
      <c r="Q313" s="2">
        <v>192.1</v>
      </c>
      <c r="R313" s="2">
        <v>164.6</v>
      </c>
      <c r="S313" s="2">
        <v>155.30000000000001</v>
      </c>
      <c r="T313" s="2">
        <v>163.30000000000001</v>
      </c>
      <c r="U313" s="2">
        <v>162.1</v>
      </c>
      <c r="V313" s="2">
        <v>162.6</v>
      </c>
      <c r="W313" s="2">
        <v>157.5</v>
      </c>
      <c r="X313" s="2">
        <v>168.4</v>
      </c>
      <c r="Y313" s="2">
        <v>154</v>
      </c>
      <c r="Z313" s="2">
        <v>157.69999999999999</v>
      </c>
      <c r="AA313" s="2">
        <v>163.69999999999999</v>
      </c>
      <c r="AB313" s="2">
        <v>160</v>
      </c>
      <c r="AC313" s="2">
        <v>160</v>
      </c>
      <c r="AD313" s="2">
        <v>163.19999999999999</v>
      </c>
    </row>
    <row r="314" spans="1:30" ht="14.4" x14ac:dyDescent="0.3">
      <c r="A314" s="2" t="s">
        <v>30</v>
      </c>
      <c r="B314" s="2">
        <v>2021</v>
      </c>
      <c r="C314" s="2" t="s">
        <v>43</v>
      </c>
      <c r="D314" s="2">
        <v>146.1</v>
      </c>
      <c r="E314" s="2">
        <v>202.5</v>
      </c>
      <c r="F314" s="2">
        <v>170.1</v>
      </c>
      <c r="G314" s="2">
        <v>158.4</v>
      </c>
      <c r="H314" s="2">
        <v>198.8</v>
      </c>
      <c r="I314" s="2">
        <v>152.6</v>
      </c>
      <c r="J314" s="2">
        <v>170.4</v>
      </c>
      <c r="K314" s="2">
        <v>165.2</v>
      </c>
      <c r="L314" s="2">
        <v>121.6</v>
      </c>
      <c r="M314" s="2">
        <v>170.6</v>
      </c>
      <c r="N314" s="2">
        <v>168.8</v>
      </c>
      <c r="O314" s="2">
        <v>173.6</v>
      </c>
      <c r="P314" s="2">
        <v>165.5</v>
      </c>
      <c r="Q314" s="2">
        <v>191.2</v>
      </c>
      <c r="R314" s="2">
        <v>168.9</v>
      </c>
      <c r="S314" s="2">
        <v>164.8</v>
      </c>
      <c r="T314" s="2">
        <v>168.3</v>
      </c>
      <c r="U314" s="2" t="s">
        <v>32</v>
      </c>
      <c r="V314" s="2">
        <v>165.5</v>
      </c>
      <c r="W314" s="2">
        <v>162</v>
      </c>
      <c r="X314" s="2">
        <v>172.5</v>
      </c>
      <c r="Y314" s="2">
        <v>159.5</v>
      </c>
      <c r="Z314" s="2">
        <v>163.19999999999999</v>
      </c>
      <c r="AA314" s="2">
        <v>169</v>
      </c>
      <c r="AB314" s="2">
        <v>161.1</v>
      </c>
      <c r="AC314" s="2">
        <v>164.7</v>
      </c>
      <c r="AD314" s="2">
        <v>166.3</v>
      </c>
    </row>
    <row r="315" spans="1:30" ht="14.4" x14ac:dyDescent="0.3">
      <c r="A315" s="2" t="s">
        <v>33</v>
      </c>
      <c r="B315" s="2">
        <v>2021</v>
      </c>
      <c r="C315" s="2" t="s">
        <v>43</v>
      </c>
      <c r="D315" s="2">
        <v>150.1</v>
      </c>
      <c r="E315" s="2">
        <v>208.4</v>
      </c>
      <c r="F315" s="2">
        <v>173</v>
      </c>
      <c r="G315" s="2">
        <v>159.19999999999999</v>
      </c>
      <c r="H315" s="2">
        <v>176.6</v>
      </c>
      <c r="I315" s="2">
        <v>159.30000000000001</v>
      </c>
      <c r="J315" s="2">
        <v>214.4</v>
      </c>
      <c r="K315" s="2">
        <v>165.3</v>
      </c>
      <c r="L315" s="2">
        <v>122.5</v>
      </c>
      <c r="M315" s="2">
        <v>166.8</v>
      </c>
      <c r="N315" s="2">
        <v>155.4</v>
      </c>
      <c r="O315" s="2">
        <v>175.9</v>
      </c>
      <c r="P315" s="2">
        <v>171.5</v>
      </c>
      <c r="Q315" s="2">
        <v>197</v>
      </c>
      <c r="R315" s="2">
        <v>160.80000000000001</v>
      </c>
      <c r="S315" s="2">
        <v>144.4</v>
      </c>
      <c r="T315" s="2">
        <v>158.30000000000001</v>
      </c>
      <c r="U315" s="2">
        <v>163.6</v>
      </c>
      <c r="V315" s="2">
        <v>162.19999999999999</v>
      </c>
      <c r="W315" s="2">
        <v>154.30000000000001</v>
      </c>
      <c r="X315" s="2">
        <v>163.5</v>
      </c>
      <c r="Y315" s="2">
        <v>152.19999999999999</v>
      </c>
      <c r="Z315" s="2">
        <v>155.1</v>
      </c>
      <c r="AA315" s="2">
        <v>160.30000000000001</v>
      </c>
      <c r="AB315" s="2">
        <v>160.30000000000001</v>
      </c>
      <c r="AC315" s="2">
        <v>157</v>
      </c>
      <c r="AD315" s="2">
        <v>164.6</v>
      </c>
    </row>
    <row r="316" spans="1:30" ht="14.4" x14ac:dyDescent="0.3">
      <c r="A316" s="2" t="s">
        <v>34</v>
      </c>
      <c r="B316" s="2">
        <v>2021</v>
      </c>
      <c r="C316" s="2" t="s">
        <v>43</v>
      </c>
      <c r="D316" s="2">
        <v>147.4</v>
      </c>
      <c r="E316" s="2">
        <v>204.6</v>
      </c>
      <c r="F316" s="2">
        <v>171.2</v>
      </c>
      <c r="G316" s="2">
        <v>158.69999999999999</v>
      </c>
      <c r="H316" s="2">
        <v>190.6</v>
      </c>
      <c r="I316" s="2">
        <v>155.69999999999999</v>
      </c>
      <c r="J316" s="2">
        <v>185.3</v>
      </c>
      <c r="K316" s="2">
        <v>165.2</v>
      </c>
      <c r="L316" s="2">
        <v>121.9</v>
      </c>
      <c r="M316" s="2">
        <v>169.3</v>
      </c>
      <c r="N316" s="2">
        <v>163.19999999999999</v>
      </c>
      <c r="O316" s="2">
        <v>174.7</v>
      </c>
      <c r="P316" s="2">
        <v>167.7</v>
      </c>
      <c r="Q316" s="2">
        <v>192.7</v>
      </c>
      <c r="R316" s="2">
        <v>165.7</v>
      </c>
      <c r="S316" s="2">
        <v>156.30000000000001</v>
      </c>
      <c r="T316" s="2">
        <v>164.3</v>
      </c>
      <c r="U316" s="2">
        <v>163.6</v>
      </c>
      <c r="V316" s="2">
        <v>164.2</v>
      </c>
      <c r="W316" s="2">
        <v>158.4</v>
      </c>
      <c r="X316" s="2">
        <v>169.1</v>
      </c>
      <c r="Y316" s="2">
        <v>155.69999999999999</v>
      </c>
      <c r="Z316" s="2">
        <v>158.6</v>
      </c>
      <c r="AA316" s="2">
        <v>163.9</v>
      </c>
      <c r="AB316" s="2">
        <v>160.80000000000001</v>
      </c>
      <c r="AC316" s="2">
        <v>161</v>
      </c>
      <c r="AD316" s="2">
        <v>165.5</v>
      </c>
    </row>
    <row r="317" spans="1:30" ht="14.4" x14ac:dyDescent="0.3">
      <c r="A317" s="2" t="s">
        <v>30</v>
      </c>
      <c r="B317" s="2">
        <v>2021</v>
      </c>
      <c r="C317" s="2" t="s">
        <v>44</v>
      </c>
      <c r="D317" s="2">
        <v>146.9</v>
      </c>
      <c r="E317" s="2">
        <v>199.8</v>
      </c>
      <c r="F317" s="2">
        <v>171.5</v>
      </c>
      <c r="G317" s="2">
        <v>159.1</v>
      </c>
      <c r="H317" s="2">
        <v>198.4</v>
      </c>
      <c r="I317" s="2">
        <v>153.19999999999999</v>
      </c>
      <c r="J317" s="2">
        <v>183.9</v>
      </c>
      <c r="K317" s="2">
        <v>165.4</v>
      </c>
      <c r="L317" s="2">
        <v>122.1</v>
      </c>
      <c r="M317" s="2">
        <v>170.8</v>
      </c>
      <c r="N317" s="2">
        <v>169.1</v>
      </c>
      <c r="O317" s="2">
        <v>174.3</v>
      </c>
      <c r="P317" s="2">
        <v>167.5</v>
      </c>
      <c r="Q317" s="2">
        <v>191.4</v>
      </c>
      <c r="R317" s="2">
        <v>170.4</v>
      </c>
      <c r="S317" s="2">
        <v>166</v>
      </c>
      <c r="T317" s="2">
        <v>169.8</v>
      </c>
      <c r="U317" s="2" t="s">
        <v>32</v>
      </c>
      <c r="V317" s="2">
        <v>165.3</v>
      </c>
      <c r="W317" s="2">
        <v>162.9</v>
      </c>
      <c r="X317" s="2">
        <v>173.4</v>
      </c>
      <c r="Y317" s="2">
        <v>158.9</v>
      </c>
      <c r="Z317" s="2">
        <v>163.80000000000001</v>
      </c>
      <c r="AA317" s="2">
        <v>169.3</v>
      </c>
      <c r="AB317" s="2">
        <v>162.4</v>
      </c>
      <c r="AC317" s="2">
        <v>165.2</v>
      </c>
      <c r="AD317" s="2">
        <v>167.6</v>
      </c>
    </row>
    <row r="318" spans="1:30" ht="14.4" x14ac:dyDescent="0.3">
      <c r="A318" s="2" t="s">
        <v>33</v>
      </c>
      <c r="B318" s="2">
        <v>2021</v>
      </c>
      <c r="C318" s="2" t="s">
        <v>44</v>
      </c>
      <c r="D318" s="2">
        <v>151</v>
      </c>
      <c r="E318" s="2">
        <v>204.9</v>
      </c>
      <c r="F318" s="2">
        <v>175.4</v>
      </c>
      <c r="G318" s="2">
        <v>159.6</v>
      </c>
      <c r="H318" s="2">
        <v>175.8</v>
      </c>
      <c r="I318" s="2">
        <v>160.30000000000001</v>
      </c>
      <c r="J318" s="2">
        <v>229.1</v>
      </c>
      <c r="K318" s="2">
        <v>165.1</v>
      </c>
      <c r="L318" s="2">
        <v>123.1</v>
      </c>
      <c r="M318" s="2">
        <v>167.2</v>
      </c>
      <c r="N318" s="2">
        <v>156.1</v>
      </c>
      <c r="O318" s="2">
        <v>176.8</v>
      </c>
      <c r="P318" s="2">
        <v>173.5</v>
      </c>
      <c r="Q318" s="2">
        <v>197</v>
      </c>
      <c r="R318" s="2">
        <v>162.30000000000001</v>
      </c>
      <c r="S318" s="2">
        <v>145.30000000000001</v>
      </c>
      <c r="T318" s="2">
        <v>159.69999999999999</v>
      </c>
      <c r="U318" s="2">
        <v>164.2</v>
      </c>
      <c r="V318" s="2">
        <v>161.6</v>
      </c>
      <c r="W318" s="2">
        <v>155.19999999999999</v>
      </c>
      <c r="X318" s="2">
        <v>164.2</v>
      </c>
      <c r="Y318" s="2">
        <v>151.19999999999999</v>
      </c>
      <c r="Z318" s="2">
        <v>156.69999999999999</v>
      </c>
      <c r="AA318" s="2">
        <v>160.80000000000001</v>
      </c>
      <c r="AB318" s="2">
        <v>161.80000000000001</v>
      </c>
      <c r="AC318" s="2">
        <v>157.30000000000001</v>
      </c>
      <c r="AD318" s="2">
        <v>165.6</v>
      </c>
    </row>
    <row r="319" spans="1:30" ht="14.4" x14ac:dyDescent="0.3">
      <c r="A319" s="2" t="s">
        <v>34</v>
      </c>
      <c r="B319" s="2">
        <v>2021</v>
      </c>
      <c r="C319" s="2" t="s">
        <v>44</v>
      </c>
      <c r="D319" s="2">
        <v>148.19999999999999</v>
      </c>
      <c r="E319" s="2">
        <v>201.6</v>
      </c>
      <c r="F319" s="2">
        <v>173</v>
      </c>
      <c r="G319" s="2">
        <v>159.30000000000001</v>
      </c>
      <c r="H319" s="2">
        <v>190.1</v>
      </c>
      <c r="I319" s="2">
        <v>156.5</v>
      </c>
      <c r="J319" s="2">
        <v>199.2</v>
      </c>
      <c r="K319" s="2">
        <v>165.3</v>
      </c>
      <c r="L319" s="2">
        <v>122.4</v>
      </c>
      <c r="M319" s="2">
        <v>169.6</v>
      </c>
      <c r="N319" s="2">
        <v>163.69999999999999</v>
      </c>
      <c r="O319" s="2">
        <v>175.5</v>
      </c>
      <c r="P319" s="2">
        <v>169.7</v>
      </c>
      <c r="Q319" s="2">
        <v>192.9</v>
      </c>
      <c r="R319" s="2">
        <v>167.2</v>
      </c>
      <c r="S319" s="2">
        <v>157.4</v>
      </c>
      <c r="T319" s="2">
        <v>165.8</v>
      </c>
      <c r="U319" s="2">
        <v>164.2</v>
      </c>
      <c r="V319" s="2">
        <v>163.9</v>
      </c>
      <c r="W319" s="2">
        <v>159.30000000000001</v>
      </c>
      <c r="X319" s="2">
        <v>169.9</v>
      </c>
      <c r="Y319" s="2">
        <v>154.80000000000001</v>
      </c>
      <c r="Z319" s="2">
        <v>159.80000000000001</v>
      </c>
      <c r="AA319" s="2">
        <v>164.3</v>
      </c>
      <c r="AB319" s="2">
        <v>162.19999999999999</v>
      </c>
      <c r="AC319" s="2">
        <v>161.4</v>
      </c>
      <c r="AD319" s="2">
        <v>166.7</v>
      </c>
    </row>
    <row r="320" spans="1:30" ht="14.4" x14ac:dyDescent="0.3">
      <c r="A320" s="2" t="s">
        <v>30</v>
      </c>
      <c r="B320" s="2">
        <v>2021</v>
      </c>
      <c r="C320" s="2" t="s">
        <v>45</v>
      </c>
      <c r="D320" s="2">
        <v>147.4</v>
      </c>
      <c r="E320" s="2">
        <v>197</v>
      </c>
      <c r="F320" s="2">
        <v>176.5</v>
      </c>
      <c r="G320" s="2">
        <v>159.80000000000001</v>
      </c>
      <c r="H320" s="2">
        <v>195.8</v>
      </c>
      <c r="I320" s="2">
        <v>152</v>
      </c>
      <c r="J320" s="2">
        <v>172.3</v>
      </c>
      <c r="K320" s="2">
        <v>164.5</v>
      </c>
      <c r="L320" s="2">
        <v>120.6</v>
      </c>
      <c r="M320" s="2">
        <v>171.7</v>
      </c>
      <c r="N320" s="2">
        <v>169.7</v>
      </c>
      <c r="O320" s="2">
        <v>175.1</v>
      </c>
      <c r="P320" s="2">
        <v>165.8</v>
      </c>
      <c r="Q320" s="2">
        <v>190.8</v>
      </c>
      <c r="R320" s="2">
        <v>171.8</v>
      </c>
      <c r="S320" s="2">
        <v>167.3</v>
      </c>
      <c r="T320" s="2">
        <v>171.2</v>
      </c>
      <c r="U320" s="2" t="s">
        <v>32</v>
      </c>
      <c r="V320" s="2">
        <v>165.6</v>
      </c>
      <c r="W320" s="2">
        <v>163.9</v>
      </c>
      <c r="X320" s="2">
        <v>174</v>
      </c>
      <c r="Y320" s="2">
        <v>160.1</v>
      </c>
      <c r="Z320" s="2">
        <v>164.5</v>
      </c>
      <c r="AA320" s="2">
        <v>169.7</v>
      </c>
      <c r="AB320" s="2">
        <v>162.80000000000001</v>
      </c>
      <c r="AC320" s="2">
        <v>166</v>
      </c>
      <c r="AD320" s="2">
        <v>167</v>
      </c>
    </row>
    <row r="321" spans="1:30" ht="14.4" x14ac:dyDescent="0.3">
      <c r="A321" s="2" t="s">
        <v>33</v>
      </c>
      <c r="B321" s="2">
        <v>2021</v>
      </c>
      <c r="C321" s="2" t="s">
        <v>45</v>
      </c>
      <c r="D321" s="2">
        <v>151.6</v>
      </c>
      <c r="E321" s="2">
        <v>202.2</v>
      </c>
      <c r="F321" s="2">
        <v>180</v>
      </c>
      <c r="G321" s="2">
        <v>160</v>
      </c>
      <c r="H321" s="2">
        <v>173.5</v>
      </c>
      <c r="I321" s="2">
        <v>158.30000000000001</v>
      </c>
      <c r="J321" s="2">
        <v>219.5</v>
      </c>
      <c r="K321" s="2">
        <v>164.2</v>
      </c>
      <c r="L321" s="2">
        <v>121.9</v>
      </c>
      <c r="M321" s="2">
        <v>168.2</v>
      </c>
      <c r="N321" s="2">
        <v>156.5</v>
      </c>
      <c r="O321" s="2">
        <v>178.2</v>
      </c>
      <c r="P321" s="2">
        <v>172.2</v>
      </c>
      <c r="Q321" s="2">
        <v>196.8</v>
      </c>
      <c r="R321" s="2">
        <v>163.30000000000001</v>
      </c>
      <c r="S321" s="2">
        <v>146.69999999999999</v>
      </c>
      <c r="T321" s="2">
        <v>160.69999999999999</v>
      </c>
      <c r="U321" s="2">
        <v>163.4</v>
      </c>
      <c r="V321" s="2">
        <v>161.69999999999999</v>
      </c>
      <c r="W321" s="2">
        <v>156</v>
      </c>
      <c r="X321" s="2">
        <v>165.1</v>
      </c>
      <c r="Y321" s="2">
        <v>151.80000000000001</v>
      </c>
      <c r="Z321" s="2">
        <v>157.6</v>
      </c>
      <c r="AA321" s="2">
        <v>160.6</v>
      </c>
      <c r="AB321" s="2">
        <v>162.4</v>
      </c>
      <c r="AC321" s="2">
        <v>157.80000000000001</v>
      </c>
      <c r="AD321" s="2">
        <v>165.2</v>
      </c>
    </row>
    <row r="322" spans="1:30" ht="14.4" x14ac:dyDescent="0.3">
      <c r="A322" s="2" t="s">
        <v>34</v>
      </c>
      <c r="B322" s="2">
        <v>2021</v>
      </c>
      <c r="C322" s="2" t="s">
        <v>45</v>
      </c>
      <c r="D322" s="2">
        <v>148.69999999999999</v>
      </c>
      <c r="E322" s="2">
        <v>198.8</v>
      </c>
      <c r="F322" s="2">
        <v>177.9</v>
      </c>
      <c r="G322" s="2">
        <v>159.9</v>
      </c>
      <c r="H322" s="2">
        <v>187.6</v>
      </c>
      <c r="I322" s="2">
        <v>154.9</v>
      </c>
      <c r="J322" s="2">
        <v>188.3</v>
      </c>
      <c r="K322" s="2">
        <v>164.4</v>
      </c>
      <c r="L322" s="2">
        <v>121</v>
      </c>
      <c r="M322" s="2">
        <v>170.5</v>
      </c>
      <c r="N322" s="2">
        <v>164.2</v>
      </c>
      <c r="O322" s="2">
        <v>176.5</v>
      </c>
      <c r="P322" s="2">
        <v>168.2</v>
      </c>
      <c r="Q322" s="2">
        <v>192.4</v>
      </c>
      <c r="R322" s="2">
        <v>168.5</v>
      </c>
      <c r="S322" s="2">
        <v>158.69999999999999</v>
      </c>
      <c r="T322" s="2">
        <v>167</v>
      </c>
      <c r="U322" s="2">
        <v>163.4</v>
      </c>
      <c r="V322" s="2">
        <v>164.1</v>
      </c>
      <c r="W322" s="2">
        <v>160.19999999999999</v>
      </c>
      <c r="X322" s="2">
        <v>170.6</v>
      </c>
      <c r="Y322" s="2">
        <v>155.69999999999999</v>
      </c>
      <c r="Z322" s="2">
        <v>160.6</v>
      </c>
      <c r="AA322" s="2">
        <v>164.4</v>
      </c>
      <c r="AB322" s="2">
        <v>162.6</v>
      </c>
      <c r="AC322" s="2">
        <v>162</v>
      </c>
      <c r="AD322" s="2">
        <v>166.2</v>
      </c>
    </row>
    <row r="323" spans="1:30" ht="14.4" x14ac:dyDescent="0.3">
      <c r="A323" s="2" t="s">
        <v>30</v>
      </c>
      <c r="B323" s="2">
        <v>2022</v>
      </c>
      <c r="C323" s="2" t="s">
        <v>31</v>
      </c>
      <c r="D323" s="2">
        <v>148.30000000000001</v>
      </c>
      <c r="E323" s="2">
        <v>196.9</v>
      </c>
      <c r="F323" s="2">
        <v>178</v>
      </c>
      <c r="G323" s="2">
        <v>160.5</v>
      </c>
      <c r="H323" s="2">
        <v>192.6</v>
      </c>
      <c r="I323" s="2">
        <v>151.19999999999999</v>
      </c>
      <c r="J323" s="2">
        <v>159.19999999999999</v>
      </c>
      <c r="K323" s="2">
        <v>164</v>
      </c>
      <c r="L323" s="2">
        <v>119.3</v>
      </c>
      <c r="M323" s="2">
        <v>173.3</v>
      </c>
      <c r="N323" s="2">
        <v>169.8</v>
      </c>
      <c r="O323" s="2">
        <v>175.8</v>
      </c>
      <c r="P323" s="2">
        <v>164.1</v>
      </c>
      <c r="Q323" s="2">
        <v>190.7</v>
      </c>
      <c r="R323" s="2">
        <v>173.2</v>
      </c>
      <c r="S323" s="2">
        <v>169.3</v>
      </c>
      <c r="T323" s="2">
        <v>172.7</v>
      </c>
      <c r="U323" s="2" t="s">
        <v>32</v>
      </c>
      <c r="V323" s="2">
        <v>165.8</v>
      </c>
      <c r="W323" s="2">
        <v>164.9</v>
      </c>
      <c r="X323" s="2">
        <v>174.7</v>
      </c>
      <c r="Y323" s="2">
        <v>160.80000000000001</v>
      </c>
      <c r="Z323" s="2">
        <v>164.9</v>
      </c>
      <c r="AA323" s="2">
        <v>169.9</v>
      </c>
      <c r="AB323" s="2">
        <v>163.19999999999999</v>
      </c>
      <c r="AC323" s="2">
        <v>166.6</v>
      </c>
      <c r="AD323" s="2">
        <v>166.4</v>
      </c>
    </row>
    <row r="324" spans="1:30" ht="14.4" x14ac:dyDescent="0.3">
      <c r="A324" s="2" t="s">
        <v>33</v>
      </c>
      <c r="B324" s="2">
        <v>2022</v>
      </c>
      <c r="C324" s="2" t="s">
        <v>31</v>
      </c>
      <c r="D324" s="2">
        <v>152.19999999999999</v>
      </c>
      <c r="E324" s="2">
        <v>202.1</v>
      </c>
      <c r="F324" s="2">
        <v>180.1</v>
      </c>
      <c r="G324" s="2">
        <v>160.4</v>
      </c>
      <c r="H324" s="2">
        <v>171</v>
      </c>
      <c r="I324" s="2">
        <v>156.5</v>
      </c>
      <c r="J324" s="2">
        <v>203.6</v>
      </c>
      <c r="K324" s="2">
        <v>163.80000000000001</v>
      </c>
      <c r="L324" s="2">
        <v>121.3</v>
      </c>
      <c r="M324" s="2">
        <v>169.8</v>
      </c>
      <c r="N324" s="2">
        <v>156.6</v>
      </c>
      <c r="O324" s="2">
        <v>179</v>
      </c>
      <c r="P324" s="2">
        <v>170.3</v>
      </c>
      <c r="Q324" s="2">
        <v>196.4</v>
      </c>
      <c r="R324" s="2">
        <v>164.7</v>
      </c>
      <c r="S324" s="2">
        <v>148.5</v>
      </c>
      <c r="T324" s="2">
        <v>162.19999999999999</v>
      </c>
      <c r="U324" s="2">
        <v>164.5</v>
      </c>
      <c r="V324" s="2">
        <v>161.6</v>
      </c>
      <c r="W324" s="2">
        <v>156.80000000000001</v>
      </c>
      <c r="X324" s="2">
        <v>166.1</v>
      </c>
      <c r="Y324" s="2">
        <v>152.69999999999999</v>
      </c>
      <c r="Z324" s="2">
        <v>158.4</v>
      </c>
      <c r="AA324" s="2">
        <v>161</v>
      </c>
      <c r="AB324" s="2">
        <v>162.80000000000001</v>
      </c>
      <c r="AC324" s="2">
        <v>158.6</v>
      </c>
      <c r="AD324" s="2">
        <v>165</v>
      </c>
    </row>
    <row r="325" spans="1:30" ht="14.4" x14ac:dyDescent="0.3">
      <c r="A325" s="2" t="s">
        <v>34</v>
      </c>
      <c r="B325" s="2">
        <v>2022</v>
      </c>
      <c r="C325" s="2" t="s">
        <v>31</v>
      </c>
      <c r="D325" s="2">
        <v>149.5</v>
      </c>
      <c r="E325" s="2">
        <v>198.7</v>
      </c>
      <c r="F325" s="2">
        <v>178.8</v>
      </c>
      <c r="G325" s="2">
        <v>160.5</v>
      </c>
      <c r="H325" s="2">
        <v>184.7</v>
      </c>
      <c r="I325" s="2">
        <v>153.69999999999999</v>
      </c>
      <c r="J325" s="2">
        <v>174.3</v>
      </c>
      <c r="K325" s="2">
        <v>163.9</v>
      </c>
      <c r="L325" s="2">
        <v>120</v>
      </c>
      <c r="M325" s="2">
        <v>172.1</v>
      </c>
      <c r="N325" s="2">
        <v>164.3</v>
      </c>
      <c r="O325" s="2">
        <v>177.3</v>
      </c>
      <c r="P325" s="2">
        <v>166.4</v>
      </c>
      <c r="Q325" s="2">
        <v>192.2</v>
      </c>
      <c r="R325" s="2">
        <v>169.9</v>
      </c>
      <c r="S325" s="2">
        <v>160.69999999999999</v>
      </c>
      <c r="T325" s="2">
        <v>168.5</v>
      </c>
      <c r="U325" s="2">
        <v>164.5</v>
      </c>
      <c r="V325" s="2">
        <v>164.2</v>
      </c>
      <c r="W325" s="2">
        <v>161.1</v>
      </c>
      <c r="X325" s="2">
        <v>171.4</v>
      </c>
      <c r="Y325" s="2">
        <v>156.5</v>
      </c>
      <c r="Z325" s="2">
        <v>161.19999999999999</v>
      </c>
      <c r="AA325" s="2">
        <v>164.7</v>
      </c>
      <c r="AB325" s="2">
        <v>163</v>
      </c>
      <c r="AC325" s="2">
        <v>162.69999999999999</v>
      </c>
      <c r="AD325" s="2">
        <v>165.7</v>
      </c>
    </row>
    <row r="326" spans="1:30" ht="14.4" x14ac:dyDescent="0.3">
      <c r="A326" s="2" t="s">
        <v>30</v>
      </c>
      <c r="B326" s="2">
        <v>2022</v>
      </c>
      <c r="C326" s="2" t="s">
        <v>35</v>
      </c>
      <c r="D326" s="2">
        <v>148.80000000000001</v>
      </c>
      <c r="E326" s="2">
        <v>198.1</v>
      </c>
      <c r="F326" s="2">
        <v>175.5</v>
      </c>
      <c r="G326" s="2">
        <v>160.69999999999999</v>
      </c>
      <c r="H326" s="2">
        <v>192.6</v>
      </c>
      <c r="I326" s="2">
        <v>151.4</v>
      </c>
      <c r="J326" s="2">
        <v>155.19999999999999</v>
      </c>
      <c r="K326" s="2">
        <v>163.9</v>
      </c>
      <c r="L326" s="2">
        <v>118.1</v>
      </c>
      <c r="M326" s="2">
        <v>175.4</v>
      </c>
      <c r="N326" s="2">
        <v>170.5</v>
      </c>
      <c r="O326" s="2">
        <v>176.3</v>
      </c>
      <c r="P326" s="2">
        <v>163.9</v>
      </c>
      <c r="Q326" s="2">
        <v>191.5</v>
      </c>
      <c r="R326" s="2">
        <v>174.1</v>
      </c>
      <c r="S326" s="2">
        <v>171</v>
      </c>
      <c r="T326" s="2">
        <v>173.7</v>
      </c>
      <c r="U326" s="2" t="s">
        <v>32</v>
      </c>
      <c r="V326" s="2">
        <v>167.4</v>
      </c>
      <c r="W326" s="2">
        <v>165.7</v>
      </c>
      <c r="X326" s="2">
        <v>175.3</v>
      </c>
      <c r="Y326" s="2">
        <v>161.19999999999999</v>
      </c>
      <c r="Z326" s="2">
        <v>165.5</v>
      </c>
      <c r="AA326" s="2">
        <v>170.3</v>
      </c>
      <c r="AB326" s="2">
        <v>164.5</v>
      </c>
      <c r="AC326" s="2">
        <v>167.3</v>
      </c>
      <c r="AD326" s="2">
        <v>166.7</v>
      </c>
    </row>
    <row r="327" spans="1:30" ht="14.4" x14ac:dyDescent="0.3">
      <c r="A327" s="2" t="s">
        <v>33</v>
      </c>
      <c r="B327" s="2">
        <v>2022</v>
      </c>
      <c r="C327" s="2" t="s">
        <v>35</v>
      </c>
      <c r="D327" s="2">
        <v>152.5</v>
      </c>
      <c r="E327" s="2">
        <v>205.2</v>
      </c>
      <c r="F327" s="2">
        <v>176.4</v>
      </c>
      <c r="G327" s="2">
        <v>160.6</v>
      </c>
      <c r="H327" s="2">
        <v>171.5</v>
      </c>
      <c r="I327" s="2">
        <v>156.4</v>
      </c>
      <c r="J327" s="2">
        <v>198</v>
      </c>
      <c r="K327" s="2">
        <v>163.19999999999999</v>
      </c>
      <c r="L327" s="2">
        <v>120.6</v>
      </c>
      <c r="M327" s="2">
        <v>172.2</v>
      </c>
      <c r="N327" s="2">
        <v>156.69999999999999</v>
      </c>
      <c r="O327" s="2">
        <v>180</v>
      </c>
      <c r="P327" s="2">
        <v>170.2</v>
      </c>
      <c r="Q327" s="2">
        <v>196.5</v>
      </c>
      <c r="R327" s="2">
        <v>165.7</v>
      </c>
      <c r="S327" s="2">
        <v>150.4</v>
      </c>
      <c r="T327" s="2">
        <v>163.4</v>
      </c>
      <c r="U327" s="2">
        <v>165.5</v>
      </c>
      <c r="V327" s="2">
        <v>163</v>
      </c>
      <c r="W327" s="2">
        <v>157.4</v>
      </c>
      <c r="X327" s="2">
        <v>167.2</v>
      </c>
      <c r="Y327" s="2">
        <v>153.1</v>
      </c>
      <c r="Z327" s="2">
        <v>159.5</v>
      </c>
      <c r="AA327" s="2">
        <v>162</v>
      </c>
      <c r="AB327" s="2">
        <v>164.2</v>
      </c>
      <c r="AC327" s="2">
        <v>159.4</v>
      </c>
      <c r="AD327" s="2">
        <v>165.5</v>
      </c>
    </row>
    <row r="328" spans="1:30" ht="14.4" x14ac:dyDescent="0.3">
      <c r="A328" s="2" t="s">
        <v>34</v>
      </c>
      <c r="B328" s="2">
        <v>2022</v>
      </c>
      <c r="C328" s="2" t="s">
        <v>35</v>
      </c>
      <c r="D328" s="2">
        <v>150</v>
      </c>
      <c r="E328" s="2">
        <v>200.6</v>
      </c>
      <c r="F328" s="2">
        <v>175.8</v>
      </c>
      <c r="G328" s="2">
        <v>160.69999999999999</v>
      </c>
      <c r="H328" s="2">
        <v>184.9</v>
      </c>
      <c r="I328" s="2">
        <v>153.69999999999999</v>
      </c>
      <c r="J328" s="2">
        <v>169.7</v>
      </c>
      <c r="K328" s="2">
        <v>163.69999999999999</v>
      </c>
      <c r="L328" s="2">
        <v>118.9</v>
      </c>
      <c r="M328" s="2">
        <v>174.3</v>
      </c>
      <c r="N328" s="2">
        <v>164.7</v>
      </c>
      <c r="O328" s="2">
        <v>178</v>
      </c>
      <c r="P328" s="2">
        <v>166.2</v>
      </c>
      <c r="Q328" s="2">
        <v>192.8</v>
      </c>
      <c r="R328" s="2">
        <v>170.8</v>
      </c>
      <c r="S328" s="2">
        <v>162.4</v>
      </c>
      <c r="T328" s="2">
        <v>169.6</v>
      </c>
      <c r="U328" s="2">
        <v>165.5</v>
      </c>
      <c r="V328" s="2">
        <v>165.7</v>
      </c>
      <c r="W328" s="2">
        <v>161.80000000000001</v>
      </c>
      <c r="X328" s="2">
        <v>172.2</v>
      </c>
      <c r="Y328" s="2">
        <v>156.9</v>
      </c>
      <c r="Z328" s="2">
        <v>162.1</v>
      </c>
      <c r="AA328" s="2">
        <v>165.4</v>
      </c>
      <c r="AB328" s="2">
        <v>164.4</v>
      </c>
      <c r="AC328" s="2">
        <v>163.5</v>
      </c>
      <c r="AD328" s="2">
        <v>166.1</v>
      </c>
    </row>
    <row r="329" spans="1:30" ht="14.4" x14ac:dyDescent="0.3">
      <c r="A329" s="2" t="s">
        <v>30</v>
      </c>
      <c r="B329" s="2">
        <v>2022</v>
      </c>
      <c r="C329" s="2" t="s">
        <v>36</v>
      </c>
      <c r="D329" s="2">
        <v>150.19999999999999</v>
      </c>
      <c r="E329" s="2">
        <v>208</v>
      </c>
      <c r="F329" s="2">
        <v>167.9</v>
      </c>
      <c r="G329" s="2">
        <v>162</v>
      </c>
      <c r="H329" s="2">
        <v>203.1</v>
      </c>
      <c r="I329" s="2">
        <v>155.9</v>
      </c>
      <c r="J329" s="2">
        <v>155.80000000000001</v>
      </c>
      <c r="K329" s="2">
        <v>164.2</v>
      </c>
      <c r="L329" s="2">
        <v>118.1</v>
      </c>
      <c r="M329" s="2">
        <v>178.7</v>
      </c>
      <c r="N329" s="2">
        <v>171.2</v>
      </c>
      <c r="O329" s="2">
        <v>177.4</v>
      </c>
      <c r="P329" s="2">
        <v>166.6</v>
      </c>
      <c r="Q329" s="2">
        <v>192.3</v>
      </c>
      <c r="R329" s="2">
        <v>175.4</v>
      </c>
      <c r="S329" s="2">
        <v>173.2</v>
      </c>
      <c r="T329" s="2">
        <v>175.1</v>
      </c>
      <c r="U329" s="2" t="s">
        <v>32</v>
      </c>
      <c r="V329" s="2">
        <v>168.9</v>
      </c>
      <c r="W329" s="2">
        <v>166.5</v>
      </c>
      <c r="X329" s="2">
        <v>176</v>
      </c>
      <c r="Y329" s="2">
        <v>162</v>
      </c>
      <c r="Z329" s="2">
        <v>166.6</v>
      </c>
      <c r="AA329" s="2">
        <v>170.6</v>
      </c>
      <c r="AB329" s="2">
        <v>167.4</v>
      </c>
      <c r="AC329" s="2">
        <v>168.3</v>
      </c>
      <c r="AD329" s="2">
        <v>168.7</v>
      </c>
    </row>
    <row r="330" spans="1:30" ht="14.4" x14ac:dyDescent="0.3">
      <c r="A330" s="2" t="s">
        <v>33</v>
      </c>
      <c r="B330" s="2">
        <v>2022</v>
      </c>
      <c r="C330" s="2" t="s">
        <v>36</v>
      </c>
      <c r="D330" s="2">
        <v>153.69999999999999</v>
      </c>
      <c r="E330" s="2">
        <v>215.8</v>
      </c>
      <c r="F330" s="2">
        <v>167.7</v>
      </c>
      <c r="G330" s="2">
        <v>162.6</v>
      </c>
      <c r="H330" s="2">
        <v>180</v>
      </c>
      <c r="I330" s="2">
        <v>159.6</v>
      </c>
      <c r="J330" s="2">
        <v>188.4</v>
      </c>
      <c r="K330" s="2">
        <v>163.4</v>
      </c>
      <c r="L330" s="2">
        <v>120.3</v>
      </c>
      <c r="M330" s="2">
        <v>174.7</v>
      </c>
      <c r="N330" s="2">
        <v>157.1</v>
      </c>
      <c r="O330" s="2">
        <v>181.5</v>
      </c>
      <c r="P330" s="2">
        <v>171.5</v>
      </c>
      <c r="Q330" s="2">
        <v>197.5</v>
      </c>
      <c r="R330" s="2">
        <v>167.1</v>
      </c>
      <c r="S330" s="2">
        <v>152.6</v>
      </c>
      <c r="T330" s="2">
        <v>164.9</v>
      </c>
      <c r="U330" s="2">
        <v>165.3</v>
      </c>
      <c r="V330" s="2">
        <v>164.5</v>
      </c>
      <c r="W330" s="2">
        <v>158.6</v>
      </c>
      <c r="X330" s="2">
        <v>168.2</v>
      </c>
      <c r="Y330" s="2">
        <v>154.19999999999999</v>
      </c>
      <c r="Z330" s="2">
        <v>160.80000000000001</v>
      </c>
      <c r="AA330" s="2">
        <v>162.69999999999999</v>
      </c>
      <c r="AB330" s="2">
        <v>166.8</v>
      </c>
      <c r="AC330" s="2">
        <v>160.6</v>
      </c>
      <c r="AD330" s="2">
        <v>166.5</v>
      </c>
    </row>
    <row r="331" spans="1:30" ht="14.4" x14ac:dyDescent="0.3">
      <c r="A331" s="2" t="s">
        <v>34</v>
      </c>
      <c r="B331" s="2">
        <v>2022</v>
      </c>
      <c r="C331" s="2" t="s">
        <v>36</v>
      </c>
      <c r="D331" s="2">
        <v>151.30000000000001</v>
      </c>
      <c r="E331" s="2">
        <v>210.7</v>
      </c>
      <c r="F331" s="2">
        <v>167.8</v>
      </c>
      <c r="G331" s="2">
        <v>162.19999999999999</v>
      </c>
      <c r="H331" s="2">
        <v>194.6</v>
      </c>
      <c r="I331" s="2">
        <v>157.6</v>
      </c>
      <c r="J331" s="2">
        <v>166.9</v>
      </c>
      <c r="K331" s="2">
        <v>163.9</v>
      </c>
      <c r="L331" s="2">
        <v>118.8</v>
      </c>
      <c r="M331" s="2">
        <v>177.4</v>
      </c>
      <c r="N331" s="2">
        <v>165.3</v>
      </c>
      <c r="O331" s="2">
        <v>179.3</v>
      </c>
      <c r="P331" s="2">
        <v>168.4</v>
      </c>
      <c r="Q331" s="2">
        <v>193.7</v>
      </c>
      <c r="R331" s="2">
        <v>172.1</v>
      </c>
      <c r="S331" s="2">
        <v>164.6</v>
      </c>
      <c r="T331" s="2">
        <v>171.1</v>
      </c>
      <c r="U331" s="2">
        <v>165.3</v>
      </c>
      <c r="V331" s="2">
        <v>167.2</v>
      </c>
      <c r="W331" s="2">
        <v>162.80000000000001</v>
      </c>
      <c r="X331" s="2">
        <v>173</v>
      </c>
      <c r="Y331" s="2">
        <v>157.9</v>
      </c>
      <c r="Z331" s="2">
        <v>163.30000000000001</v>
      </c>
      <c r="AA331" s="2">
        <v>166</v>
      </c>
      <c r="AB331" s="2">
        <v>167.2</v>
      </c>
      <c r="AC331" s="2">
        <v>164.6</v>
      </c>
      <c r="AD331" s="2">
        <v>167.7</v>
      </c>
    </row>
    <row r="332" spans="1:30" ht="14.4" x14ac:dyDescent="0.3">
      <c r="A332" s="2" t="s">
        <v>30</v>
      </c>
      <c r="B332" s="2">
        <v>2022</v>
      </c>
      <c r="C332" s="2" t="s">
        <v>37</v>
      </c>
      <c r="D332" s="2">
        <v>151.80000000000001</v>
      </c>
      <c r="E332" s="2">
        <v>209.7</v>
      </c>
      <c r="F332" s="2">
        <v>164.5</v>
      </c>
      <c r="G332" s="2">
        <v>163.80000000000001</v>
      </c>
      <c r="H332" s="2">
        <v>207.4</v>
      </c>
      <c r="I332" s="2">
        <v>169.7</v>
      </c>
      <c r="J332" s="2">
        <v>153.6</v>
      </c>
      <c r="K332" s="2">
        <v>165.1</v>
      </c>
      <c r="L332" s="2">
        <v>118.2</v>
      </c>
      <c r="M332" s="2">
        <v>182.9</v>
      </c>
      <c r="N332" s="2">
        <v>172.4</v>
      </c>
      <c r="O332" s="2">
        <v>178.9</v>
      </c>
      <c r="P332" s="2">
        <v>168.6</v>
      </c>
      <c r="Q332" s="2">
        <v>192.8</v>
      </c>
      <c r="R332" s="2">
        <v>177.5</v>
      </c>
      <c r="S332" s="2">
        <v>175.1</v>
      </c>
      <c r="T332" s="2">
        <v>177.1</v>
      </c>
      <c r="U332" s="2" t="s">
        <v>32</v>
      </c>
      <c r="V332" s="2">
        <v>173.3</v>
      </c>
      <c r="W332" s="2">
        <v>167.7</v>
      </c>
      <c r="X332" s="2">
        <v>177</v>
      </c>
      <c r="Y332" s="2">
        <v>166.2</v>
      </c>
      <c r="Z332" s="2">
        <v>167.2</v>
      </c>
      <c r="AA332" s="2">
        <v>170.9</v>
      </c>
      <c r="AB332" s="2">
        <v>169</v>
      </c>
      <c r="AC332" s="2">
        <v>170.2</v>
      </c>
      <c r="AD332" s="2">
        <v>170.8</v>
      </c>
    </row>
    <row r="333" spans="1:30" ht="14.4" x14ac:dyDescent="0.3">
      <c r="A333" s="2" t="s">
        <v>33</v>
      </c>
      <c r="B333" s="2">
        <v>2022</v>
      </c>
      <c r="C333" s="2" t="s">
        <v>37</v>
      </c>
      <c r="D333" s="2">
        <v>155.4</v>
      </c>
      <c r="E333" s="2">
        <v>215.8</v>
      </c>
      <c r="F333" s="2">
        <v>164.6</v>
      </c>
      <c r="G333" s="2">
        <v>164.2</v>
      </c>
      <c r="H333" s="2">
        <v>186</v>
      </c>
      <c r="I333" s="2">
        <v>175.9</v>
      </c>
      <c r="J333" s="2">
        <v>190.7</v>
      </c>
      <c r="K333" s="2">
        <v>164</v>
      </c>
      <c r="L333" s="2">
        <v>120.5</v>
      </c>
      <c r="M333" s="2">
        <v>178</v>
      </c>
      <c r="N333" s="2">
        <v>157.5</v>
      </c>
      <c r="O333" s="2">
        <v>183.3</v>
      </c>
      <c r="P333" s="2">
        <v>174.5</v>
      </c>
      <c r="Q333" s="2">
        <v>197.1</v>
      </c>
      <c r="R333" s="2">
        <v>168.4</v>
      </c>
      <c r="S333" s="2">
        <v>154.5</v>
      </c>
      <c r="T333" s="2">
        <v>166.3</v>
      </c>
      <c r="U333" s="2">
        <v>167</v>
      </c>
      <c r="V333" s="2">
        <v>170.5</v>
      </c>
      <c r="W333" s="2">
        <v>159.80000000000001</v>
      </c>
      <c r="X333" s="2">
        <v>169</v>
      </c>
      <c r="Y333" s="2">
        <v>159.30000000000001</v>
      </c>
      <c r="Z333" s="2">
        <v>162.19999999999999</v>
      </c>
      <c r="AA333" s="2">
        <v>164</v>
      </c>
      <c r="AB333" s="2">
        <v>168.4</v>
      </c>
      <c r="AC333" s="2">
        <v>163.1</v>
      </c>
      <c r="AD333" s="2">
        <v>169.2</v>
      </c>
    </row>
    <row r="334" spans="1:30" ht="14.4" x14ac:dyDescent="0.3">
      <c r="A334" s="2" t="s">
        <v>34</v>
      </c>
      <c r="B334" s="2">
        <v>2022</v>
      </c>
      <c r="C334" s="2" t="s">
        <v>37</v>
      </c>
      <c r="D334" s="2">
        <v>152.9</v>
      </c>
      <c r="E334" s="2">
        <v>211.8</v>
      </c>
      <c r="F334" s="2">
        <v>164.5</v>
      </c>
      <c r="G334" s="2">
        <v>163.9</v>
      </c>
      <c r="H334" s="2">
        <v>199.5</v>
      </c>
      <c r="I334" s="2">
        <v>172.6</v>
      </c>
      <c r="J334" s="2">
        <v>166.2</v>
      </c>
      <c r="K334" s="2">
        <v>164.7</v>
      </c>
      <c r="L334" s="2">
        <v>119</v>
      </c>
      <c r="M334" s="2">
        <v>181.3</v>
      </c>
      <c r="N334" s="2">
        <v>166.2</v>
      </c>
      <c r="O334" s="2">
        <v>180.9</v>
      </c>
      <c r="P334" s="2">
        <v>170.8</v>
      </c>
      <c r="Q334" s="2">
        <v>193.9</v>
      </c>
      <c r="R334" s="2">
        <v>173.9</v>
      </c>
      <c r="S334" s="2">
        <v>166.5</v>
      </c>
      <c r="T334" s="2">
        <v>172.8</v>
      </c>
      <c r="U334" s="2">
        <v>167</v>
      </c>
      <c r="V334" s="2">
        <v>172.2</v>
      </c>
      <c r="W334" s="2">
        <v>164</v>
      </c>
      <c r="X334" s="2">
        <v>174</v>
      </c>
      <c r="Y334" s="2">
        <v>162.6</v>
      </c>
      <c r="Z334" s="2">
        <v>164.4</v>
      </c>
      <c r="AA334" s="2">
        <v>166.9</v>
      </c>
      <c r="AB334" s="2">
        <v>168.8</v>
      </c>
      <c r="AC334" s="2">
        <v>166.8</v>
      </c>
      <c r="AD334" s="2">
        <v>170.1</v>
      </c>
    </row>
    <row r="335" spans="1:30" ht="14.4" x14ac:dyDescent="0.3">
      <c r="A335" s="2" t="s">
        <v>30</v>
      </c>
      <c r="B335" s="2">
        <v>2022</v>
      </c>
      <c r="C335" s="2" t="s">
        <v>38</v>
      </c>
      <c r="D335" s="2">
        <v>152.9</v>
      </c>
      <c r="E335" s="2">
        <v>214.7</v>
      </c>
      <c r="F335" s="2">
        <v>161.4</v>
      </c>
      <c r="G335" s="2">
        <v>164.6</v>
      </c>
      <c r="H335" s="2">
        <v>209.9</v>
      </c>
      <c r="I335" s="2">
        <v>168</v>
      </c>
      <c r="J335" s="2">
        <v>160.4</v>
      </c>
      <c r="K335" s="2">
        <v>165</v>
      </c>
      <c r="L335" s="2">
        <v>118.9</v>
      </c>
      <c r="M335" s="2">
        <v>186.6</v>
      </c>
      <c r="N335" s="2">
        <v>173.2</v>
      </c>
      <c r="O335" s="2">
        <v>180.4</v>
      </c>
      <c r="P335" s="2">
        <v>170.8</v>
      </c>
      <c r="Q335" s="2">
        <v>192.9</v>
      </c>
      <c r="R335" s="2">
        <v>179.3</v>
      </c>
      <c r="S335" s="2">
        <v>177.2</v>
      </c>
      <c r="T335" s="2">
        <v>179</v>
      </c>
      <c r="U335" s="2" t="s">
        <v>32</v>
      </c>
      <c r="V335" s="2">
        <v>175.3</v>
      </c>
      <c r="W335" s="2">
        <v>168.9</v>
      </c>
      <c r="X335" s="2">
        <v>177.7</v>
      </c>
      <c r="Y335" s="2">
        <v>167.1</v>
      </c>
      <c r="Z335" s="2">
        <v>167.6</v>
      </c>
      <c r="AA335" s="2">
        <v>171.8</v>
      </c>
      <c r="AB335" s="2">
        <v>168.5</v>
      </c>
      <c r="AC335" s="2">
        <v>170.9</v>
      </c>
      <c r="AD335" s="2">
        <v>172.5</v>
      </c>
    </row>
    <row r="336" spans="1:30" ht="14.4" x14ac:dyDescent="0.3">
      <c r="A336" s="2" t="s">
        <v>33</v>
      </c>
      <c r="B336" s="2">
        <v>2022</v>
      </c>
      <c r="C336" s="2" t="s">
        <v>38</v>
      </c>
      <c r="D336" s="2">
        <v>156.69999999999999</v>
      </c>
      <c r="E336" s="2">
        <v>221.2</v>
      </c>
      <c r="F336" s="2">
        <v>164.1</v>
      </c>
      <c r="G336" s="2">
        <v>165.4</v>
      </c>
      <c r="H336" s="2">
        <v>189.5</v>
      </c>
      <c r="I336" s="2">
        <v>174.5</v>
      </c>
      <c r="J336" s="2">
        <v>203.2</v>
      </c>
      <c r="K336" s="2">
        <v>164.1</v>
      </c>
      <c r="L336" s="2">
        <v>121.2</v>
      </c>
      <c r="M336" s="2">
        <v>181.4</v>
      </c>
      <c r="N336" s="2">
        <v>158.5</v>
      </c>
      <c r="O336" s="2">
        <v>184.9</v>
      </c>
      <c r="P336" s="2">
        <v>177.5</v>
      </c>
      <c r="Q336" s="2">
        <v>197.5</v>
      </c>
      <c r="R336" s="2">
        <v>170</v>
      </c>
      <c r="S336" s="2">
        <v>155.9</v>
      </c>
      <c r="T336" s="2">
        <v>167.8</v>
      </c>
      <c r="U336" s="2">
        <v>167.5</v>
      </c>
      <c r="V336" s="2">
        <v>173.5</v>
      </c>
      <c r="W336" s="2">
        <v>161.1</v>
      </c>
      <c r="X336" s="2">
        <v>170.1</v>
      </c>
      <c r="Y336" s="2">
        <v>159.4</v>
      </c>
      <c r="Z336" s="2">
        <v>163.19999999999999</v>
      </c>
      <c r="AA336" s="2">
        <v>165.2</v>
      </c>
      <c r="AB336" s="2">
        <v>168.2</v>
      </c>
      <c r="AC336" s="2">
        <v>163.80000000000001</v>
      </c>
      <c r="AD336" s="2">
        <v>170.8</v>
      </c>
    </row>
    <row r="337" spans="1:30" ht="14.4" x14ac:dyDescent="0.3">
      <c r="A337" s="2" t="s">
        <v>34</v>
      </c>
      <c r="B337" s="2">
        <v>2022</v>
      </c>
      <c r="C337" s="2" t="s">
        <v>38</v>
      </c>
      <c r="D337" s="2">
        <v>154.1</v>
      </c>
      <c r="E337" s="2">
        <v>217</v>
      </c>
      <c r="F337" s="2">
        <v>162.4</v>
      </c>
      <c r="G337" s="2">
        <v>164.9</v>
      </c>
      <c r="H337" s="2">
        <v>202.4</v>
      </c>
      <c r="I337" s="2">
        <v>171</v>
      </c>
      <c r="J337" s="2">
        <v>174.9</v>
      </c>
      <c r="K337" s="2">
        <v>164.7</v>
      </c>
      <c r="L337" s="2">
        <v>119.7</v>
      </c>
      <c r="M337" s="2">
        <v>184.9</v>
      </c>
      <c r="N337" s="2">
        <v>167.1</v>
      </c>
      <c r="O337" s="2">
        <v>182.5</v>
      </c>
      <c r="P337" s="2">
        <v>173.3</v>
      </c>
      <c r="Q337" s="2">
        <v>194.1</v>
      </c>
      <c r="R337" s="2">
        <v>175.6</v>
      </c>
      <c r="S337" s="2">
        <v>168.4</v>
      </c>
      <c r="T337" s="2">
        <v>174.6</v>
      </c>
      <c r="U337" s="2">
        <v>167.5</v>
      </c>
      <c r="V337" s="2">
        <v>174.6</v>
      </c>
      <c r="W337" s="2">
        <v>165.2</v>
      </c>
      <c r="X337" s="2">
        <v>174.8</v>
      </c>
      <c r="Y337" s="2">
        <v>163</v>
      </c>
      <c r="Z337" s="2">
        <v>165.1</v>
      </c>
      <c r="AA337" s="2">
        <v>167.9</v>
      </c>
      <c r="AB337" s="2">
        <v>168.4</v>
      </c>
      <c r="AC337" s="2">
        <v>167.5</v>
      </c>
      <c r="AD337" s="2">
        <v>171.7</v>
      </c>
    </row>
    <row r="338" spans="1:30" ht="14.4" x14ac:dyDescent="0.3">
      <c r="A338" s="2" t="s">
        <v>30</v>
      </c>
      <c r="B338" s="2">
        <v>2022</v>
      </c>
      <c r="C338" s="2" t="s">
        <v>39</v>
      </c>
      <c r="D338" s="2">
        <v>153.80000000000001</v>
      </c>
      <c r="E338" s="2">
        <v>217.2</v>
      </c>
      <c r="F338" s="2">
        <v>169.6</v>
      </c>
      <c r="G338" s="2">
        <v>165.4</v>
      </c>
      <c r="H338" s="2">
        <v>208.1</v>
      </c>
      <c r="I338" s="2">
        <v>165.8</v>
      </c>
      <c r="J338" s="2">
        <v>167.3</v>
      </c>
      <c r="K338" s="2">
        <v>164.6</v>
      </c>
      <c r="L338" s="2">
        <v>119.1</v>
      </c>
      <c r="M338" s="2">
        <v>188.9</v>
      </c>
      <c r="N338" s="2">
        <v>174.2</v>
      </c>
      <c r="O338" s="2">
        <v>181.9</v>
      </c>
      <c r="P338" s="2">
        <v>172.4</v>
      </c>
      <c r="Q338" s="2">
        <v>192.9</v>
      </c>
      <c r="R338" s="2">
        <v>180.7</v>
      </c>
      <c r="S338" s="2">
        <v>178.7</v>
      </c>
      <c r="T338" s="2">
        <v>180.4</v>
      </c>
      <c r="U338" s="2" t="s">
        <v>32</v>
      </c>
      <c r="V338" s="2">
        <v>176.7</v>
      </c>
      <c r="W338" s="2">
        <v>170.3</v>
      </c>
      <c r="X338" s="2">
        <v>178.2</v>
      </c>
      <c r="Y338" s="2">
        <v>165.5</v>
      </c>
      <c r="Z338" s="2">
        <v>168</v>
      </c>
      <c r="AA338" s="2">
        <v>172.6</v>
      </c>
      <c r="AB338" s="2">
        <v>169.5</v>
      </c>
      <c r="AC338" s="2">
        <v>171</v>
      </c>
      <c r="AD338" s="2">
        <v>173.6</v>
      </c>
    </row>
    <row r="339" spans="1:30" ht="14.4" x14ac:dyDescent="0.3">
      <c r="A339" s="2" t="s">
        <v>33</v>
      </c>
      <c r="B339" s="2">
        <v>2022</v>
      </c>
      <c r="C339" s="2" t="s">
        <v>39</v>
      </c>
      <c r="D339" s="2">
        <v>157.5</v>
      </c>
      <c r="E339" s="2">
        <v>223.4</v>
      </c>
      <c r="F339" s="2">
        <v>172.8</v>
      </c>
      <c r="G339" s="2">
        <v>166.4</v>
      </c>
      <c r="H339" s="2">
        <v>188.6</v>
      </c>
      <c r="I339" s="2">
        <v>174.1</v>
      </c>
      <c r="J339" s="2">
        <v>211.5</v>
      </c>
      <c r="K339" s="2">
        <v>163.6</v>
      </c>
      <c r="L339" s="2">
        <v>121.4</v>
      </c>
      <c r="M339" s="2">
        <v>183.5</v>
      </c>
      <c r="N339" s="2">
        <v>159.1</v>
      </c>
      <c r="O339" s="2">
        <v>186.3</v>
      </c>
      <c r="P339" s="2">
        <v>179.3</v>
      </c>
      <c r="Q339" s="2">
        <v>198.3</v>
      </c>
      <c r="R339" s="2">
        <v>171.6</v>
      </c>
      <c r="S339" s="2">
        <v>157.4</v>
      </c>
      <c r="T339" s="2">
        <v>169.4</v>
      </c>
      <c r="U339" s="2">
        <v>166.8</v>
      </c>
      <c r="V339" s="2">
        <v>174.9</v>
      </c>
      <c r="W339" s="2">
        <v>162.1</v>
      </c>
      <c r="X339" s="2">
        <v>170.9</v>
      </c>
      <c r="Y339" s="2">
        <v>157.19999999999999</v>
      </c>
      <c r="Z339" s="2">
        <v>164.1</v>
      </c>
      <c r="AA339" s="2">
        <v>166.5</v>
      </c>
      <c r="AB339" s="2">
        <v>169.2</v>
      </c>
      <c r="AC339" s="2">
        <v>163.80000000000001</v>
      </c>
      <c r="AD339" s="2">
        <v>171.4</v>
      </c>
    </row>
    <row r="340" spans="1:30" ht="14.4" x14ac:dyDescent="0.3">
      <c r="A340" s="2" t="s">
        <v>34</v>
      </c>
      <c r="B340" s="2">
        <v>2022</v>
      </c>
      <c r="C340" s="2" t="s">
        <v>39</v>
      </c>
      <c r="D340" s="2">
        <v>155</v>
      </c>
      <c r="E340" s="2">
        <v>219.4</v>
      </c>
      <c r="F340" s="2">
        <v>170.8</v>
      </c>
      <c r="G340" s="2">
        <v>165.8</v>
      </c>
      <c r="H340" s="2">
        <v>200.9</v>
      </c>
      <c r="I340" s="2">
        <v>169.7</v>
      </c>
      <c r="J340" s="2">
        <v>182.3</v>
      </c>
      <c r="K340" s="2">
        <v>164.3</v>
      </c>
      <c r="L340" s="2">
        <v>119.9</v>
      </c>
      <c r="M340" s="2">
        <v>187.1</v>
      </c>
      <c r="N340" s="2">
        <v>167.9</v>
      </c>
      <c r="O340" s="2">
        <v>183.9</v>
      </c>
      <c r="P340" s="2">
        <v>174.9</v>
      </c>
      <c r="Q340" s="2">
        <v>194.3</v>
      </c>
      <c r="R340" s="2">
        <v>177.1</v>
      </c>
      <c r="S340" s="2">
        <v>169.9</v>
      </c>
      <c r="T340" s="2">
        <v>176</v>
      </c>
      <c r="U340" s="2">
        <v>166.8</v>
      </c>
      <c r="V340" s="2">
        <v>176</v>
      </c>
      <c r="W340" s="2">
        <v>166.4</v>
      </c>
      <c r="X340" s="2">
        <v>175.4</v>
      </c>
      <c r="Y340" s="2">
        <v>161.1</v>
      </c>
      <c r="Z340" s="2">
        <v>165.8</v>
      </c>
      <c r="AA340" s="2">
        <v>169</v>
      </c>
      <c r="AB340" s="2">
        <v>169.4</v>
      </c>
      <c r="AC340" s="2">
        <v>167.5</v>
      </c>
      <c r="AD340" s="2">
        <v>172.6</v>
      </c>
    </row>
    <row r="341" spans="1:30" ht="14.4" x14ac:dyDescent="0.3">
      <c r="A341" s="2" t="s">
        <v>30</v>
      </c>
      <c r="B341" s="2">
        <v>2022</v>
      </c>
      <c r="C341" s="2" t="s">
        <v>40</v>
      </c>
      <c r="D341" s="2">
        <v>155.19999999999999</v>
      </c>
      <c r="E341" s="2">
        <v>210.8</v>
      </c>
      <c r="F341" s="2">
        <v>174.3</v>
      </c>
      <c r="G341" s="2">
        <v>166.3</v>
      </c>
      <c r="H341" s="2">
        <v>202.2</v>
      </c>
      <c r="I341" s="2">
        <v>169.6</v>
      </c>
      <c r="J341" s="2">
        <v>168.6</v>
      </c>
      <c r="K341" s="2">
        <v>164.4</v>
      </c>
      <c r="L341" s="2">
        <v>119.2</v>
      </c>
      <c r="M341" s="2">
        <v>191.8</v>
      </c>
      <c r="N341" s="2">
        <v>174.5</v>
      </c>
      <c r="O341" s="2">
        <v>183.1</v>
      </c>
      <c r="P341" s="2">
        <v>172.5</v>
      </c>
      <c r="Q341" s="2">
        <v>193.2</v>
      </c>
      <c r="R341" s="2">
        <v>182</v>
      </c>
      <c r="S341" s="2">
        <v>180.3</v>
      </c>
      <c r="T341" s="2">
        <v>181.7</v>
      </c>
      <c r="U341" s="2" t="s">
        <v>32</v>
      </c>
      <c r="V341" s="2">
        <v>179.6</v>
      </c>
      <c r="W341" s="2">
        <v>171.3</v>
      </c>
      <c r="X341" s="2">
        <v>178.8</v>
      </c>
      <c r="Y341" s="2">
        <v>166.3</v>
      </c>
      <c r="Z341" s="2">
        <v>168.6</v>
      </c>
      <c r="AA341" s="2">
        <v>174.7</v>
      </c>
      <c r="AB341" s="2">
        <v>169.7</v>
      </c>
      <c r="AC341" s="2">
        <v>171.8</v>
      </c>
      <c r="AD341" s="2">
        <v>174.3</v>
      </c>
    </row>
    <row r="342" spans="1:30" ht="14.4" x14ac:dyDescent="0.3">
      <c r="A342" s="2" t="s">
        <v>33</v>
      </c>
      <c r="B342" s="2">
        <v>2022</v>
      </c>
      <c r="C342" s="2" t="s">
        <v>40</v>
      </c>
      <c r="D342" s="2">
        <v>159.30000000000001</v>
      </c>
      <c r="E342" s="2">
        <v>217.1</v>
      </c>
      <c r="F342" s="2">
        <v>176.6</v>
      </c>
      <c r="G342" s="2">
        <v>167.1</v>
      </c>
      <c r="H342" s="2">
        <v>184.8</v>
      </c>
      <c r="I342" s="2">
        <v>179.5</v>
      </c>
      <c r="J342" s="2">
        <v>208.5</v>
      </c>
      <c r="K342" s="2">
        <v>164</v>
      </c>
      <c r="L342" s="2">
        <v>121.5</v>
      </c>
      <c r="M342" s="2">
        <v>186.3</v>
      </c>
      <c r="N342" s="2">
        <v>159.80000000000001</v>
      </c>
      <c r="O342" s="2">
        <v>187.7</v>
      </c>
      <c r="P342" s="2">
        <v>179.4</v>
      </c>
      <c r="Q342" s="2">
        <v>198.6</v>
      </c>
      <c r="R342" s="2">
        <v>172.7</v>
      </c>
      <c r="S342" s="2">
        <v>158.69999999999999</v>
      </c>
      <c r="T342" s="2">
        <v>170.6</v>
      </c>
      <c r="U342" s="2">
        <v>167.8</v>
      </c>
      <c r="V342" s="2">
        <v>179.5</v>
      </c>
      <c r="W342" s="2">
        <v>163.1</v>
      </c>
      <c r="X342" s="2">
        <v>171.7</v>
      </c>
      <c r="Y342" s="2">
        <v>157.4</v>
      </c>
      <c r="Z342" s="2">
        <v>164.6</v>
      </c>
      <c r="AA342" s="2">
        <v>169.1</v>
      </c>
      <c r="AB342" s="2">
        <v>169.8</v>
      </c>
      <c r="AC342" s="2">
        <v>164.7</v>
      </c>
      <c r="AD342" s="2">
        <v>172.3</v>
      </c>
    </row>
    <row r="343" spans="1:30" ht="14.4" x14ac:dyDescent="0.3">
      <c r="A343" s="2" t="s">
        <v>34</v>
      </c>
      <c r="B343" s="2">
        <v>2022</v>
      </c>
      <c r="C343" s="2" t="s">
        <v>40</v>
      </c>
      <c r="D343" s="2">
        <v>156.5</v>
      </c>
      <c r="E343" s="2">
        <v>213</v>
      </c>
      <c r="F343" s="2">
        <v>175.2</v>
      </c>
      <c r="G343" s="2">
        <v>166.6</v>
      </c>
      <c r="H343" s="2">
        <v>195.8</v>
      </c>
      <c r="I343" s="2">
        <v>174.2</v>
      </c>
      <c r="J343" s="2">
        <v>182.1</v>
      </c>
      <c r="K343" s="2">
        <v>164.3</v>
      </c>
      <c r="L343" s="2">
        <v>120</v>
      </c>
      <c r="M343" s="2">
        <v>190</v>
      </c>
      <c r="N343" s="2">
        <v>168.4</v>
      </c>
      <c r="O343" s="2">
        <v>185.2</v>
      </c>
      <c r="P343" s="2">
        <v>175</v>
      </c>
      <c r="Q343" s="2">
        <v>194.6</v>
      </c>
      <c r="R343" s="2">
        <v>178.3</v>
      </c>
      <c r="S343" s="2">
        <v>171.3</v>
      </c>
      <c r="T343" s="2">
        <v>177.3</v>
      </c>
      <c r="U343" s="2">
        <v>167.8</v>
      </c>
      <c r="V343" s="2">
        <v>179.6</v>
      </c>
      <c r="W343" s="2">
        <v>167.4</v>
      </c>
      <c r="X343" s="2">
        <v>176.1</v>
      </c>
      <c r="Y343" s="2">
        <v>161.6</v>
      </c>
      <c r="Z343" s="2">
        <v>166.3</v>
      </c>
      <c r="AA343" s="2">
        <v>171.4</v>
      </c>
      <c r="AB343" s="2">
        <v>169.7</v>
      </c>
      <c r="AC343" s="2">
        <v>168.4</v>
      </c>
      <c r="AD343" s="2">
        <v>173.4</v>
      </c>
    </row>
    <row r="344" spans="1:30" ht="14.4" x14ac:dyDescent="0.3">
      <c r="A344" s="2" t="s">
        <v>30</v>
      </c>
      <c r="B344" s="2">
        <v>2022</v>
      </c>
      <c r="C344" s="2" t="s">
        <v>41</v>
      </c>
      <c r="D344" s="2">
        <v>159.5</v>
      </c>
      <c r="E344" s="2">
        <v>204.1</v>
      </c>
      <c r="F344" s="2">
        <v>168.3</v>
      </c>
      <c r="G344" s="2">
        <v>167.9</v>
      </c>
      <c r="H344" s="2">
        <v>198.1</v>
      </c>
      <c r="I344" s="2">
        <v>169.2</v>
      </c>
      <c r="J344" s="2">
        <v>173.1</v>
      </c>
      <c r="K344" s="2">
        <v>167.1</v>
      </c>
      <c r="L344" s="2">
        <v>120.2</v>
      </c>
      <c r="M344" s="2">
        <v>195.6</v>
      </c>
      <c r="N344" s="2">
        <v>174.8</v>
      </c>
      <c r="O344" s="2">
        <v>184</v>
      </c>
      <c r="P344" s="2">
        <v>173.9</v>
      </c>
      <c r="Q344" s="2">
        <v>193.7</v>
      </c>
      <c r="R344" s="2">
        <v>183.2</v>
      </c>
      <c r="S344" s="2">
        <v>181.7</v>
      </c>
      <c r="T344" s="2">
        <v>183</v>
      </c>
      <c r="U344" s="2" t="s">
        <v>32</v>
      </c>
      <c r="V344" s="2">
        <v>179.1</v>
      </c>
      <c r="W344" s="2">
        <v>172.3</v>
      </c>
      <c r="X344" s="2">
        <v>179.4</v>
      </c>
      <c r="Y344" s="2">
        <v>166.6</v>
      </c>
      <c r="Z344" s="2">
        <v>169.3</v>
      </c>
      <c r="AA344" s="2">
        <v>175.7</v>
      </c>
      <c r="AB344" s="2">
        <v>171.1</v>
      </c>
      <c r="AC344" s="2">
        <v>172.6</v>
      </c>
      <c r="AD344" s="2">
        <v>175.3</v>
      </c>
    </row>
    <row r="345" spans="1:30" ht="14.4" x14ac:dyDescent="0.3">
      <c r="A345" s="2" t="s">
        <v>33</v>
      </c>
      <c r="B345" s="2">
        <v>2022</v>
      </c>
      <c r="C345" s="2" t="s">
        <v>41</v>
      </c>
      <c r="D345" s="2">
        <v>162.1</v>
      </c>
      <c r="E345" s="2">
        <v>210.9</v>
      </c>
      <c r="F345" s="2">
        <v>170.6</v>
      </c>
      <c r="G345" s="2">
        <v>168.4</v>
      </c>
      <c r="H345" s="2">
        <v>182.5</v>
      </c>
      <c r="I345" s="2">
        <v>177.1</v>
      </c>
      <c r="J345" s="2">
        <v>213.1</v>
      </c>
      <c r="K345" s="2">
        <v>167.3</v>
      </c>
      <c r="L345" s="2">
        <v>122.2</v>
      </c>
      <c r="M345" s="2">
        <v>189.7</v>
      </c>
      <c r="N345" s="2">
        <v>160.5</v>
      </c>
      <c r="O345" s="2">
        <v>188.9</v>
      </c>
      <c r="P345" s="2">
        <v>180.4</v>
      </c>
      <c r="Q345" s="2">
        <v>198.7</v>
      </c>
      <c r="R345" s="2">
        <v>173.7</v>
      </c>
      <c r="S345" s="2">
        <v>160</v>
      </c>
      <c r="T345" s="2">
        <v>171.6</v>
      </c>
      <c r="U345" s="2">
        <v>169</v>
      </c>
      <c r="V345" s="2">
        <v>178.4</v>
      </c>
      <c r="W345" s="2">
        <v>164.2</v>
      </c>
      <c r="X345" s="2">
        <v>172.6</v>
      </c>
      <c r="Y345" s="2">
        <v>157.69999999999999</v>
      </c>
      <c r="Z345" s="2">
        <v>165.1</v>
      </c>
      <c r="AA345" s="2">
        <v>169.9</v>
      </c>
      <c r="AB345" s="2">
        <v>171.4</v>
      </c>
      <c r="AC345" s="2">
        <v>165.4</v>
      </c>
      <c r="AD345" s="2">
        <v>173.1</v>
      </c>
    </row>
    <row r="346" spans="1:30" ht="14.4" x14ac:dyDescent="0.3">
      <c r="A346" s="2" t="s">
        <v>34</v>
      </c>
      <c r="B346" s="2">
        <v>2022</v>
      </c>
      <c r="C346" s="2" t="s">
        <v>41</v>
      </c>
      <c r="D346" s="2">
        <v>160.30000000000001</v>
      </c>
      <c r="E346" s="2">
        <v>206.5</v>
      </c>
      <c r="F346" s="2">
        <v>169.2</v>
      </c>
      <c r="G346" s="2">
        <v>168.1</v>
      </c>
      <c r="H346" s="2">
        <v>192.4</v>
      </c>
      <c r="I346" s="2">
        <v>172.9</v>
      </c>
      <c r="J346" s="2">
        <v>186.7</v>
      </c>
      <c r="K346" s="2">
        <v>167.2</v>
      </c>
      <c r="L346" s="2">
        <v>120.9</v>
      </c>
      <c r="M346" s="2">
        <v>193.6</v>
      </c>
      <c r="N346" s="2">
        <v>168.8</v>
      </c>
      <c r="O346" s="2">
        <v>186.3</v>
      </c>
      <c r="P346" s="2">
        <v>176.3</v>
      </c>
      <c r="Q346" s="2">
        <v>195</v>
      </c>
      <c r="R346" s="2">
        <v>179.5</v>
      </c>
      <c r="S346" s="2">
        <v>172.7</v>
      </c>
      <c r="T346" s="2">
        <v>178.5</v>
      </c>
      <c r="U346" s="2">
        <v>169</v>
      </c>
      <c r="V346" s="2">
        <v>178.8</v>
      </c>
      <c r="W346" s="2">
        <v>168.5</v>
      </c>
      <c r="X346" s="2">
        <v>176.8</v>
      </c>
      <c r="Y346" s="2">
        <v>161.9</v>
      </c>
      <c r="Z346" s="2">
        <v>166.9</v>
      </c>
      <c r="AA346" s="2">
        <v>172.3</v>
      </c>
      <c r="AB346" s="2">
        <v>171.2</v>
      </c>
      <c r="AC346" s="2">
        <v>169.1</v>
      </c>
      <c r="AD346" s="2">
        <v>174.3</v>
      </c>
    </row>
    <row r="347" spans="1:30" ht="14.4" x14ac:dyDescent="0.3">
      <c r="A347" s="2" t="s">
        <v>30</v>
      </c>
      <c r="B347" s="2">
        <v>2022</v>
      </c>
      <c r="C347" s="2" t="s">
        <v>42</v>
      </c>
      <c r="D347" s="2">
        <v>162.9</v>
      </c>
      <c r="E347" s="2">
        <v>206.7</v>
      </c>
      <c r="F347" s="2">
        <v>169</v>
      </c>
      <c r="G347" s="2">
        <v>169.5</v>
      </c>
      <c r="H347" s="2">
        <v>194.1</v>
      </c>
      <c r="I347" s="2">
        <v>164.1</v>
      </c>
      <c r="J347" s="2">
        <v>176.9</v>
      </c>
      <c r="K347" s="2">
        <v>169</v>
      </c>
      <c r="L347" s="2">
        <v>120.8</v>
      </c>
      <c r="M347" s="2">
        <v>199.1</v>
      </c>
      <c r="N347" s="2">
        <v>175.4</v>
      </c>
      <c r="O347" s="2">
        <v>184.8</v>
      </c>
      <c r="P347" s="2">
        <v>175.5</v>
      </c>
      <c r="Q347" s="2">
        <v>194.5</v>
      </c>
      <c r="R347" s="2">
        <v>184.7</v>
      </c>
      <c r="S347" s="2">
        <v>183.3</v>
      </c>
      <c r="T347" s="2">
        <v>184.5</v>
      </c>
      <c r="U347" s="2" t="s">
        <v>32</v>
      </c>
      <c r="V347" s="2">
        <v>179.7</v>
      </c>
      <c r="W347" s="2">
        <v>173.6</v>
      </c>
      <c r="X347" s="2">
        <v>180.2</v>
      </c>
      <c r="Y347" s="2">
        <v>166.9</v>
      </c>
      <c r="Z347" s="2">
        <v>170</v>
      </c>
      <c r="AA347" s="2">
        <v>176.2</v>
      </c>
      <c r="AB347" s="2">
        <v>170.8</v>
      </c>
      <c r="AC347" s="2">
        <v>173.1</v>
      </c>
      <c r="AD347" s="2">
        <v>176.4</v>
      </c>
    </row>
    <row r="348" spans="1:30" ht="14.4" x14ac:dyDescent="0.3">
      <c r="A348" s="2" t="s">
        <v>33</v>
      </c>
      <c r="B348" s="2">
        <v>2022</v>
      </c>
      <c r="C348" s="2" t="s">
        <v>42</v>
      </c>
      <c r="D348" s="2">
        <v>164.9</v>
      </c>
      <c r="E348" s="2">
        <v>213.7</v>
      </c>
      <c r="F348" s="2">
        <v>170.9</v>
      </c>
      <c r="G348" s="2">
        <v>170.1</v>
      </c>
      <c r="H348" s="2">
        <v>179.3</v>
      </c>
      <c r="I348" s="2">
        <v>167.5</v>
      </c>
      <c r="J348" s="2">
        <v>220.8</v>
      </c>
      <c r="K348" s="2">
        <v>169.2</v>
      </c>
      <c r="L348" s="2">
        <v>123.1</v>
      </c>
      <c r="M348" s="2">
        <v>193.6</v>
      </c>
      <c r="N348" s="2">
        <v>161.1</v>
      </c>
      <c r="O348" s="2">
        <v>190.4</v>
      </c>
      <c r="P348" s="2">
        <v>181.8</v>
      </c>
      <c r="Q348" s="2">
        <v>199.7</v>
      </c>
      <c r="R348" s="2">
        <v>175</v>
      </c>
      <c r="S348" s="2">
        <v>161.69999999999999</v>
      </c>
      <c r="T348" s="2">
        <v>173</v>
      </c>
      <c r="U348" s="2">
        <v>169.5</v>
      </c>
      <c r="V348" s="2">
        <v>179.2</v>
      </c>
      <c r="W348" s="2">
        <v>165</v>
      </c>
      <c r="X348" s="2">
        <v>173.8</v>
      </c>
      <c r="Y348" s="2">
        <v>158.19999999999999</v>
      </c>
      <c r="Z348" s="2">
        <v>165.8</v>
      </c>
      <c r="AA348" s="2">
        <v>170.9</v>
      </c>
      <c r="AB348" s="2">
        <v>171.1</v>
      </c>
      <c r="AC348" s="2">
        <v>166.1</v>
      </c>
      <c r="AD348" s="2">
        <v>174.1</v>
      </c>
    </row>
    <row r="349" spans="1:30" ht="14.4" x14ac:dyDescent="0.3">
      <c r="A349" s="2" t="s">
        <v>34</v>
      </c>
      <c r="B349" s="2">
        <v>2022</v>
      </c>
      <c r="C349" s="2" t="s">
        <v>42</v>
      </c>
      <c r="D349" s="2">
        <v>163.5</v>
      </c>
      <c r="E349" s="2">
        <v>209.2</v>
      </c>
      <c r="F349" s="2">
        <v>169.7</v>
      </c>
      <c r="G349" s="2">
        <v>169.7</v>
      </c>
      <c r="H349" s="2">
        <v>188.7</v>
      </c>
      <c r="I349" s="2">
        <v>165.7</v>
      </c>
      <c r="J349" s="2">
        <v>191.8</v>
      </c>
      <c r="K349" s="2">
        <v>169.1</v>
      </c>
      <c r="L349" s="2">
        <v>121.6</v>
      </c>
      <c r="M349" s="2">
        <v>197.3</v>
      </c>
      <c r="N349" s="2">
        <v>169.4</v>
      </c>
      <c r="O349" s="2">
        <v>187.4</v>
      </c>
      <c r="P349" s="2">
        <v>177.8</v>
      </c>
      <c r="Q349" s="2">
        <v>195.9</v>
      </c>
      <c r="R349" s="2">
        <v>180.9</v>
      </c>
      <c r="S349" s="2">
        <v>174.3</v>
      </c>
      <c r="T349" s="2">
        <v>179.9</v>
      </c>
      <c r="U349" s="2">
        <v>169.5</v>
      </c>
      <c r="V349" s="2">
        <v>179.5</v>
      </c>
      <c r="W349" s="2">
        <v>169.5</v>
      </c>
      <c r="X349" s="2">
        <v>177.8</v>
      </c>
      <c r="Y349" s="2">
        <v>162.30000000000001</v>
      </c>
      <c r="Z349" s="2">
        <v>167.6</v>
      </c>
      <c r="AA349" s="2">
        <v>173.1</v>
      </c>
      <c r="AB349" s="2">
        <v>170.9</v>
      </c>
      <c r="AC349" s="2">
        <v>169.7</v>
      </c>
      <c r="AD349" s="2">
        <v>175.3</v>
      </c>
    </row>
    <row r="350" spans="1:30" ht="14.4" x14ac:dyDescent="0.3">
      <c r="A350" s="2" t="s">
        <v>30</v>
      </c>
      <c r="B350" s="2">
        <v>2022</v>
      </c>
      <c r="C350" s="2" t="s">
        <v>43</v>
      </c>
      <c r="D350" s="2">
        <v>164.7</v>
      </c>
      <c r="E350" s="2">
        <v>208.8</v>
      </c>
      <c r="F350" s="2">
        <v>170.3</v>
      </c>
      <c r="G350" s="2">
        <v>170.9</v>
      </c>
      <c r="H350" s="2">
        <v>191.6</v>
      </c>
      <c r="I350" s="2">
        <v>162.19999999999999</v>
      </c>
      <c r="J350" s="2">
        <v>184.8</v>
      </c>
      <c r="K350" s="2">
        <v>169.7</v>
      </c>
      <c r="L350" s="2">
        <v>121.1</v>
      </c>
      <c r="M350" s="2">
        <v>201.6</v>
      </c>
      <c r="N350" s="2">
        <v>175.8</v>
      </c>
      <c r="O350" s="2">
        <v>185.6</v>
      </c>
      <c r="P350" s="2">
        <v>177.4</v>
      </c>
      <c r="Q350" s="2">
        <v>194.9</v>
      </c>
      <c r="R350" s="2">
        <v>186.1</v>
      </c>
      <c r="S350" s="2">
        <v>184.4</v>
      </c>
      <c r="T350" s="2">
        <v>185.9</v>
      </c>
      <c r="U350" s="2" t="s">
        <v>32</v>
      </c>
      <c r="V350" s="2">
        <v>180.8</v>
      </c>
      <c r="W350" s="2">
        <v>174.4</v>
      </c>
      <c r="X350" s="2">
        <v>181.2</v>
      </c>
      <c r="Y350" s="2">
        <v>167.4</v>
      </c>
      <c r="Z350" s="2">
        <v>170.6</v>
      </c>
      <c r="AA350" s="2">
        <v>176.5</v>
      </c>
      <c r="AB350" s="2">
        <v>172</v>
      </c>
      <c r="AC350" s="2">
        <v>173.9</v>
      </c>
      <c r="AD350" s="2">
        <v>177.9</v>
      </c>
    </row>
    <row r="351" spans="1:30" ht="14.4" x14ac:dyDescent="0.3">
      <c r="A351" s="2" t="s">
        <v>33</v>
      </c>
      <c r="B351" s="2">
        <v>2022</v>
      </c>
      <c r="C351" s="2" t="s">
        <v>43</v>
      </c>
      <c r="D351" s="2">
        <v>166.4</v>
      </c>
      <c r="E351" s="2">
        <v>214.9</v>
      </c>
      <c r="F351" s="2">
        <v>171.9</v>
      </c>
      <c r="G351" s="2">
        <v>171</v>
      </c>
      <c r="H351" s="2">
        <v>177.7</v>
      </c>
      <c r="I351" s="2">
        <v>165.7</v>
      </c>
      <c r="J351" s="2">
        <v>228.6</v>
      </c>
      <c r="K351" s="2">
        <v>169.9</v>
      </c>
      <c r="L351" s="2">
        <v>123.4</v>
      </c>
      <c r="M351" s="2">
        <v>196.4</v>
      </c>
      <c r="N351" s="2">
        <v>161.6</v>
      </c>
      <c r="O351" s="2">
        <v>191.5</v>
      </c>
      <c r="P351" s="2">
        <v>183.3</v>
      </c>
      <c r="Q351" s="2">
        <v>200.1</v>
      </c>
      <c r="R351" s="2">
        <v>175.5</v>
      </c>
      <c r="S351" s="2">
        <v>162.6</v>
      </c>
      <c r="T351" s="2">
        <v>173.6</v>
      </c>
      <c r="U351" s="2">
        <v>171.2</v>
      </c>
      <c r="V351" s="2">
        <v>180</v>
      </c>
      <c r="W351" s="2">
        <v>166</v>
      </c>
      <c r="X351" s="2">
        <v>174.7</v>
      </c>
      <c r="Y351" s="2">
        <v>158.80000000000001</v>
      </c>
      <c r="Z351" s="2">
        <v>166.3</v>
      </c>
      <c r="AA351" s="2">
        <v>171.2</v>
      </c>
      <c r="AB351" s="2">
        <v>172.3</v>
      </c>
      <c r="AC351" s="2">
        <v>166.8</v>
      </c>
      <c r="AD351" s="2">
        <v>175.3</v>
      </c>
    </row>
    <row r="352" spans="1:30" ht="14.4" x14ac:dyDescent="0.3">
      <c r="A352" s="2" t="s">
        <v>34</v>
      </c>
      <c r="B352" s="2">
        <v>2022</v>
      </c>
      <c r="C352" s="2" t="s">
        <v>43</v>
      </c>
      <c r="D352" s="2">
        <v>165.2</v>
      </c>
      <c r="E352" s="2">
        <v>210.9</v>
      </c>
      <c r="F352" s="2">
        <v>170.9</v>
      </c>
      <c r="G352" s="2">
        <v>170.9</v>
      </c>
      <c r="H352" s="2">
        <v>186.5</v>
      </c>
      <c r="I352" s="2">
        <v>163.80000000000001</v>
      </c>
      <c r="J352" s="2">
        <v>199.7</v>
      </c>
      <c r="K352" s="2">
        <v>169.8</v>
      </c>
      <c r="L352" s="2">
        <v>121.9</v>
      </c>
      <c r="M352" s="2">
        <v>199.9</v>
      </c>
      <c r="N352" s="2">
        <v>169.9</v>
      </c>
      <c r="O352" s="2">
        <v>188.3</v>
      </c>
      <c r="P352" s="2">
        <v>179.6</v>
      </c>
      <c r="Q352" s="2">
        <v>196.3</v>
      </c>
      <c r="R352" s="2">
        <v>181.9</v>
      </c>
      <c r="S352" s="2">
        <v>175.3</v>
      </c>
      <c r="T352" s="2">
        <v>181</v>
      </c>
      <c r="U352" s="2">
        <v>171.2</v>
      </c>
      <c r="V352" s="2">
        <v>180.5</v>
      </c>
      <c r="W352" s="2">
        <v>170.4</v>
      </c>
      <c r="X352" s="2">
        <v>178.7</v>
      </c>
      <c r="Y352" s="2">
        <v>162.9</v>
      </c>
      <c r="Z352" s="2">
        <v>168.2</v>
      </c>
      <c r="AA352" s="2">
        <v>173.4</v>
      </c>
      <c r="AB352" s="2">
        <v>172.1</v>
      </c>
      <c r="AC352" s="2">
        <v>170.5</v>
      </c>
      <c r="AD352" s="2">
        <v>176.7</v>
      </c>
    </row>
    <row r="353" spans="1:30" ht="14.4" x14ac:dyDescent="0.3">
      <c r="A353" s="2" t="s">
        <v>30</v>
      </c>
      <c r="B353" s="2">
        <v>2022</v>
      </c>
      <c r="C353" s="2" t="s">
        <v>44</v>
      </c>
      <c r="D353" s="2">
        <v>166.9</v>
      </c>
      <c r="E353" s="2">
        <v>207.2</v>
      </c>
      <c r="F353" s="2">
        <v>180.2</v>
      </c>
      <c r="G353" s="2">
        <v>172.3</v>
      </c>
      <c r="H353" s="2">
        <v>194</v>
      </c>
      <c r="I353" s="2">
        <v>159.1</v>
      </c>
      <c r="J353" s="2">
        <v>171.6</v>
      </c>
      <c r="K353" s="2">
        <v>170.2</v>
      </c>
      <c r="L353" s="2">
        <v>121.5</v>
      </c>
      <c r="M353" s="2">
        <v>204.8</v>
      </c>
      <c r="N353" s="2">
        <v>176.4</v>
      </c>
      <c r="O353" s="2">
        <v>186.9</v>
      </c>
      <c r="P353" s="2">
        <v>176.6</v>
      </c>
      <c r="Q353" s="2">
        <v>195.5</v>
      </c>
      <c r="R353" s="2">
        <v>187.2</v>
      </c>
      <c r="S353" s="2">
        <v>185.2</v>
      </c>
      <c r="T353" s="2">
        <v>186.9</v>
      </c>
      <c r="U353" s="2" t="s">
        <v>32</v>
      </c>
      <c r="V353" s="2">
        <v>181.9</v>
      </c>
      <c r="W353" s="2">
        <v>175.5</v>
      </c>
      <c r="X353" s="2">
        <v>182.3</v>
      </c>
      <c r="Y353" s="2">
        <v>167.5</v>
      </c>
      <c r="Z353" s="2">
        <v>170.8</v>
      </c>
      <c r="AA353" s="2">
        <v>176.9</v>
      </c>
      <c r="AB353" s="2">
        <v>173.4</v>
      </c>
      <c r="AC353" s="2">
        <v>174.6</v>
      </c>
      <c r="AD353" s="2">
        <v>177.8</v>
      </c>
    </row>
    <row r="354" spans="1:30" ht="14.4" x14ac:dyDescent="0.3">
      <c r="A354" s="2" t="s">
        <v>33</v>
      </c>
      <c r="B354" s="2">
        <v>2022</v>
      </c>
      <c r="C354" s="2" t="s">
        <v>44</v>
      </c>
      <c r="D354" s="2">
        <v>168.4</v>
      </c>
      <c r="E354" s="2">
        <v>213.4</v>
      </c>
      <c r="F354" s="2">
        <v>183.2</v>
      </c>
      <c r="G354" s="2">
        <v>172.3</v>
      </c>
      <c r="H354" s="2">
        <v>180</v>
      </c>
      <c r="I354" s="2">
        <v>162.6</v>
      </c>
      <c r="J354" s="2">
        <v>205.5</v>
      </c>
      <c r="K354" s="2">
        <v>171</v>
      </c>
      <c r="L354" s="2">
        <v>123.4</v>
      </c>
      <c r="M354" s="2">
        <v>198.8</v>
      </c>
      <c r="N354" s="2">
        <v>162.1</v>
      </c>
      <c r="O354" s="2">
        <v>192.4</v>
      </c>
      <c r="P354" s="2">
        <v>181.3</v>
      </c>
      <c r="Q354" s="2">
        <v>200.6</v>
      </c>
      <c r="R354" s="2">
        <v>176.7</v>
      </c>
      <c r="S354" s="2">
        <v>163.5</v>
      </c>
      <c r="T354" s="2">
        <v>174.7</v>
      </c>
      <c r="U354" s="2">
        <v>171.8</v>
      </c>
      <c r="V354" s="2">
        <v>180.3</v>
      </c>
      <c r="W354" s="2">
        <v>166.9</v>
      </c>
      <c r="X354" s="2">
        <v>175.8</v>
      </c>
      <c r="Y354" s="2">
        <v>158.9</v>
      </c>
      <c r="Z354" s="2">
        <v>166.7</v>
      </c>
      <c r="AA354" s="2">
        <v>171.5</v>
      </c>
      <c r="AB354" s="2">
        <v>173.8</v>
      </c>
      <c r="AC354" s="2">
        <v>167.4</v>
      </c>
      <c r="AD354" s="2">
        <v>174.1</v>
      </c>
    </row>
    <row r="355" spans="1:30" ht="14.4" x14ac:dyDescent="0.3">
      <c r="A355" s="2" t="s">
        <v>34</v>
      </c>
      <c r="B355" s="2">
        <v>2022</v>
      </c>
      <c r="C355" s="2" t="s">
        <v>44</v>
      </c>
      <c r="D355" s="2">
        <v>167.4</v>
      </c>
      <c r="E355" s="2">
        <v>209.4</v>
      </c>
      <c r="F355" s="2">
        <v>181.4</v>
      </c>
      <c r="G355" s="2">
        <v>172.3</v>
      </c>
      <c r="H355" s="2">
        <v>188.9</v>
      </c>
      <c r="I355" s="2">
        <v>160.69999999999999</v>
      </c>
      <c r="J355" s="2">
        <v>183.1</v>
      </c>
      <c r="K355" s="2">
        <v>170.5</v>
      </c>
      <c r="L355" s="2">
        <v>122.1</v>
      </c>
      <c r="M355" s="2">
        <v>202.8</v>
      </c>
      <c r="N355" s="2">
        <v>170.4</v>
      </c>
      <c r="O355" s="2">
        <v>189.5</v>
      </c>
      <c r="P355" s="2">
        <v>178.3</v>
      </c>
      <c r="Q355" s="2">
        <v>196.9</v>
      </c>
      <c r="R355" s="2">
        <v>183.1</v>
      </c>
      <c r="S355" s="2">
        <v>176.2</v>
      </c>
      <c r="T355" s="2">
        <v>182.1</v>
      </c>
      <c r="U355" s="2">
        <v>171.8</v>
      </c>
      <c r="V355" s="2">
        <v>181.3</v>
      </c>
      <c r="W355" s="2">
        <v>171.4</v>
      </c>
      <c r="X355" s="2">
        <v>179.8</v>
      </c>
      <c r="Y355" s="2">
        <v>163</v>
      </c>
      <c r="Z355" s="2">
        <v>168.5</v>
      </c>
      <c r="AA355" s="2">
        <v>173.7</v>
      </c>
      <c r="AB355" s="2">
        <v>173.6</v>
      </c>
      <c r="AC355" s="2">
        <v>171.1</v>
      </c>
      <c r="AD355" s="2">
        <v>176.5</v>
      </c>
    </row>
    <row r="356" spans="1:30" ht="14.4" x14ac:dyDescent="0.3">
      <c r="A356" s="2" t="s">
        <v>30</v>
      </c>
      <c r="B356" s="2">
        <v>2022</v>
      </c>
      <c r="C356" s="2" t="s">
        <v>45</v>
      </c>
      <c r="D356" s="2">
        <v>168.8</v>
      </c>
      <c r="E356" s="2">
        <v>206.9</v>
      </c>
      <c r="F356" s="2">
        <v>189.1</v>
      </c>
      <c r="G356" s="2">
        <v>173.4</v>
      </c>
      <c r="H356" s="2">
        <v>193.9</v>
      </c>
      <c r="I356" s="2">
        <v>156.69999999999999</v>
      </c>
      <c r="J356" s="2">
        <v>150.19999999999999</v>
      </c>
      <c r="K356" s="2">
        <v>170.5</v>
      </c>
      <c r="L356" s="2">
        <v>121.2</v>
      </c>
      <c r="M356" s="2">
        <v>207.5</v>
      </c>
      <c r="N356" s="2">
        <v>176.8</v>
      </c>
      <c r="O356" s="2">
        <v>187.7</v>
      </c>
      <c r="P356" s="2">
        <v>174.4</v>
      </c>
      <c r="Q356" s="2">
        <v>195.9</v>
      </c>
      <c r="R356" s="2">
        <v>188.1</v>
      </c>
      <c r="S356" s="2">
        <v>185.9</v>
      </c>
      <c r="T356" s="2">
        <v>187.8</v>
      </c>
      <c r="U356" s="2" t="s">
        <v>32</v>
      </c>
      <c r="V356" s="2">
        <v>182.8</v>
      </c>
      <c r="W356" s="2">
        <v>176.4</v>
      </c>
      <c r="X356" s="2">
        <v>183.5</v>
      </c>
      <c r="Y356" s="2">
        <v>167.8</v>
      </c>
      <c r="Z356" s="2">
        <v>171.2</v>
      </c>
      <c r="AA356" s="2">
        <v>177.3</v>
      </c>
      <c r="AB356" s="2">
        <v>175.7</v>
      </c>
      <c r="AC356" s="2">
        <v>175.5</v>
      </c>
      <c r="AD356" s="2">
        <v>177.1</v>
      </c>
    </row>
    <row r="357" spans="1:30" ht="14.4" x14ac:dyDescent="0.3">
      <c r="A357" s="2" t="s">
        <v>33</v>
      </c>
      <c r="B357" s="2">
        <v>2022</v>
      </c>
      <c r="C357" s="2" t="s">
        <v>45</v>
      </c>
      <c r="D357" s="2">
        <v>170.2</v>
      </c>
      <c r="E357" s="2">
        <v>212.9</v>
      </c>
      <c r="F357" s="2">
        <v>191.9</v>
      </c>
      <c r="G357" s="2">
        <v>173.9</v>
      </c>
      <c r="H357" s="2">
        <v>179.1</v>
      </c>
      <c r="I357" s="2">
        <v>159.5</v>
      </c>
      <c r="J357" s="2">
        <v>178.7</v>
      </c>
      <c r="K357" s="2">
        <v>171.3</v>
      </c>
      <c r="L357" s="2">
        <v>123.1</v>
      </c>
      <c r="M357" s="2">
        <v>200.5</v>
      </c>
      <c r="N357" s="2">
        <v>162.80000000000001</v>
      </c>
      <c r="O357" s="2">
        <v>193.3</v>
      </c>
      <c r="P357" s="2">
        <v>178.6</v>
      </c>
      <c r="Q357" s="2">
        <v>201.1</v>
      </c>
      <c r="R357" s="2">
        <v>177.7</v>
      </c>
      <c r="S357" s="2">
        <v>164.5</v>
      </c>
      <c r="T357" s="2">
        <v>175.7</v>
      </c>
      <c r="U357" s="2">
        <v>170.7</v>
      </c>
      <c r="V357" s="2">
        <v>180.6</v>
      </c>
      <c r="W357" s="2">
        <v>167.3</v>
      </c>
      <c r="X357" s="2">
        <v>177.2</v>
      </c>
      <c r="Y357" s="2">
        <v>159.4</v>
      </c>
      <c r="Z357" s="2">
        <v>167.1</v>
      </c>
      <c r="AA357" s="2">
        <v>171.8</v>
      </c>
      <c r="AB357" s="2">
        <v>176</v>
      </c>
      <c r="AC357" s="2">
        <v>168.2</v>
      </c>
      <c r="AD357" s="2">
        <v>174.1</v>
      </c>
    </row>
    <row r="358" spans="1:30" ht="14.4" x14ac:dyDescent="0.3">
      <c r="A358" s="2" t="s">
        <v>34</v>
      </c>
      <c r="B358" s="2">
        <v>2022</v>
      </c>
      <c r="C358" s="2" t="s">
        <v>45</v>
      </c>
      <c r="D358" s="2">
        <v>169.2</v>
      </c>
      <c r="E358" s="2">
        <v>209</v>
      </c>
      <c r="F358" s="2">
        <v>190.2</v>
      </c>
      <c r="G358" s="2">
        <v>173.6</v>
      </c>
      <c r="H358" s="2">
        <v>188.5</v>
      </c>
      <c r="I358" s="2">
        <v>158</v>
      </c>
      <c r="J358" s="2">
        <v>159.9</v>
      </c>
      <c r="K358" s="2">
        <v>170.8</v>
      </c>
      <c r="L358" s="2">
        <v>121.8</v>
      </c>
      <c r="M358" s="2">
        <v>205.2</v>
      </c>
      <c r="N358" s="2">
        <v>171</v>
      </c>
      <c r="O358" s="2">
        <v>190.3</v>
      </c>
      <c r="P358" s="2">
        <v>175.9</v>
      </c>
      <c r="Q358" s="2">
        <v>197.3</v>
      </c>
      <c r="R358" s="2">
        <v>184</v>
      </c>
      <c r="S358" s="2">
        <v>177</v>
      </c>
      <c r="T358" s="2">
        <v>183</v>
      </c>
      <c r="U358" s="2">
        <v>170.7</v>
      </c>
      <c r="V358" s="2">
        <v>182</v>
      </c>
      <c r="W358" s="2">
        <v>172.1</v>
      </c>
      <c r="X358" s="2">
        <v>181.1</v>
      </c>
      <c r="Y358" s="2">
        <v>163.4</v>
      </c>
      <c r="Z358" s="2">
        <v>168.9</v>
      </c>
      <c r="AA358" s="2">
        <v>174.1</v>
      </c>
      <c r="AB358" s="2">
        <v>175.8</v>
      </c>
      <c r="AC358" s="2">
        <v>172</v>
      </c>
      <c r="AD358" s="2">
        <v>175.7</v>
      </c>
    </row>
    <row r="359" spans="1:30" ht="14.4" x14ac:dyDescent="0.3">
      <c r="A359" s="2" t="s">
        <v>30</v>
      </c>
      <c r="B359" s="2">
        <v>2023</v>
      </c>
      <c r="C359" s="2" t="s">
        <v>31</v>
      </c>
      <c r="D359" s="2">
        <v>174</v>
      </c>
      <c r="E359" s="2">
        <v>208.3</v>
      </c>
      <c r="F359" s="2">
        <v>192.9</v>
      </c>
      <c r="G359" s="2">
        <v>174.3</v>
      </c>
      <c r="H359" s="2">
        <v>192.6</v>
      </c>
      <c r="I359" s="2">
        <v>156.30000000000001</v>
      </c>
      <c r="J359" s="2">
        <v>142.9</v>
      </c>
      <c r="K359" s="2">
        <v>170.7</v>
      </c>
      <c r="L359" s="2">
        <v>120.3</v>
      </c>
      <c r="M359" s="2">
        <v>210.5</v>
      </c>
      <c r="N359" s="2">
        <v>176.9</v>
      </c>
      <c r="O359" s="2">
        <v>188.5</v>
      </c>
      <c r="P359" s="2">
        <v>175</v>
      </c>
      <c r="Q359" s="2">
        <v>196.9</v>
      </c>
      <c r="R359" s="2">
        <v>189</v>
      </c>
      <c r="S359" s="2">
        <v>186.3</v>
      </c>
      <c r="T359" s="2">
        <v>188.6</v>
      </c>
      <c r="U359" s="2" t="s">
        <v>32</v>
      </c>
      <c r="V359" s="2">
        <v>183.2</v>
      </c>
      <c r="W359" s="2">
        <v>177.2</v>
      </c>
      <c r="X359" s="2">
        <v>184.7</v>
      </c>
      <c r="Y359" s="2">
        <v>168.2</v>
      </c>
      <c r="Z359" s="2">
        <v>171.8</v>
      </c>
      <c r="AA359" s="2">
        <v>177.8</v>
      </c>
      <c r="AB359" s="2">
        <v>178.4</v>
      </c>
      <c r="AC359" s="2">
        <v>176.5</v>
      </c>
      <c r="AD359" s="2">
        <v>177.8</v>
      </c>
    </row>
    <row r="360" spans="1:30" ht="14.4" x14ac:dyDescent="0.3">
      <c r="A360" s="2" t="s">
        <v>33</v>
      </c>
      <c r="B360" s="2">
        <v>2023</v>
      </c>
      <c r="C360" s="2" t="s">
        <v>31</v>
      </c>
      <c r="D360" s="2">
        <v>173.3</v>
      </c>
      <c r="E360" s="2">
        <v>215.2</v>
      </c>
      <c r="F360" s="2">
        <v>197</v>
      </c>
      <c r="G360" s="2">
        <v>175.2</v>
      </c>
      <c r="H360" s="2">
        <v>178</v>
      </c>
      <c r="I360" s="2">
        <v>160.5</v>
      </c>
      <c r="J360" s="2">
        <v>175.3</v>
      </c>
      <c r="K360" s="2">
        <v>171.2</v>
      </c>
      <c r="L360" s="2">
        <v>122.7</v>
      </c>
      <c r="M360" s="2">
        <v>204.3</v>
      </c>
      <c r="N360" s="2">
        <v>163.69999999999999</v>
      </c>
      <c r="O360" s="2">
        <v>194.3</v>
      </c>
      <c r="P360" s="2">
        <v>179.5</v>
      </c>
      <c r="Q360" s="2">
        <v>201.6</v>
      </c>
      <c r="R360" s="2">
        <v>178.7</v>
      </c>
      <c r="S360" s="2">
        <v>165.3</v>
      </c>
      <c r="T360" s="2">
        <v>176.6</v>
      </c>
      <c r="U360" s="2">
        <v>172.1</v>
      </c>
      <c r="V360" s="2">
        <v>180.1</v>
      </c>
      <c r="W360" s="2">
        <v>168</v>
      </c>
      <c r="X360" s="2">
        <v>178.5</v>
      </c>
      <c r="Y360" s="2">
        <v>159.5</v>
      </c>
      <c r="Z360" s="2">
        <v>167.8</v>
      </c>
      <c r="AA360" s="2">
        <v>171.8</v>
      </c>
      <c r="AB360" s="2">
        <v>178.8</v>
      </c>
      <c r="AC360" s="2">
        <v>168.9</v>
      </c>
      <c r="AD360" s="2">
        <v>174.9</v>
      </c>
    </row>
    <row r="361" spans="1:30" ht="14.4" x14ac:dyDescent="0.3">
      <c r="A361" s="2" t="s">
        <v>34</v>
      </c>
      <c r="B361" s="2">
        <v>2023</v>
      </c>
      <c r="C361" s="2" t="s">
        <v>31</v>
      </c>
      <c r="D361" s="2">
        <v>173.8</v>
      </c>
      <c r="E361" s="2">
        <v>210.7</v>
      </c>
      <c r="F361" s="2">
        <v>194.5</v>
      </c>
      <c r="G361" s="2">
        <v>174.6</v>
      </c>
      <c r="H361" s="2">
        <v>187.2</v>
      </c>
      <c r="I361" s="2">
        <v>158.30000000000001</v>
      </c>
      <c r="J361" s="2">
        <v>153.9</v>
      </c>
      <c r="K361" s="2">
        <v>170.9</v>
      </c>
      <c r="L361" s="2">
        <v>121.1</v>
      </c>
      <c r="M361" s="2">
        <v>208.4</v>
      </c>
      <c r="N361" s="2">
        <v>171.4</v>
      </c>
      <c r="O361" s="2">
        <v>191.2</v>
      </c>
      <c r="P361" s="2">
        <v>176.7</v>
      </c>
      <c r="Q361" s="2">
        <v>198.2</v>
      </c>
      <c r="R361" s="2">
        <v>184.9</v>
      </c>
      <c r="S361" s="2">
        <v>177.6</v>
      </c>
      <c r="T361" s="2">
        <v>183.8</v>
      </c>
      <c r="U361" s="2">
        <v>172.1</v>
      </c>
      <c r="V361" s="2">
        <v>182</v>
      </c>
      <c r="W361" s="2">
        <v>172.9</v>
      </c>
      <c r="X361" s="2">
        <v>182.3</v>
      </c>
      <c r="Y361" s="2">
        <v>163.6</v>
      </c>
      <c r="Z361" s="2">
        <v>169.5</v>
      </c>
      <c r="AA361" s="2">
        <v>174.3</v>
      </c>
      <c r="AB361" s="2">
        <v>178.6</v>
      </c>
      <c r="AC361" s="2">
        <v>172.8</v>
      </c>
      <c r="AD361" s="2">
        <v>176.5</v>
      </c>
    </row>
    <row r="362" spans="1:30" ht="14.4" x14ac:dyDescent="0.3">
      <c r="A362" s="2" t="s">
        <v>30</v>
      </c>
      <c r="B362" s="2">
        <v>2023</v>
      </c>
      <c r="C362" s="2" t="s">
        <v>35</v>
      </c>
      <c r="D362" s="2">
        <v>174.2</v>
      </c>
      <c r="E362" s="2">
        <v>205.2</v>
      </c>
      <c r="F362" s="2">
        <v>173.9</v>
      </c>
      <c r="G362" s="2">
        <v>177</v>
      </c>
      <c r="H362" s="2">
        <v>183.4</v>
      </c>
      <c r="I362" s="2">
        <v>167.2</v>
      </c>
      <c r="J362" s="2">
        <v>140.9</v>
      </c>
      <c r="K362" s="2">
        <v>170.4</v>
      </c>
      <c r="L362" s="2">
        <v>119.1</v>
      </c>
      <c r="M362" s="2">
        <v>212.1</v>
      </c>
      <c r="N362" s="2">
        <v>177.6</v>
      </c>
      <c r="O362" s="2">
        <v>189.9</v>
      </c>
      <c r="P362" s="2">
        <v>174.8</v>
      </c>
      <c r="Q362" s="2">
        <v>198.3</v>
      </c>
      <c r="R362" s="2">
        <v>190</v>
      </c>
      <c r="S362" s="2">
        <v>187</v>
      </c>
      <c r="T362" s="2">
        <v>189.6</v>
      </c>
      <c r="U362" s="2" t="s">
        <v>32</v>
      </c>
      <c r="V362" s="2">
        <v>181.6</v>
      </c>
      <c r="W362" s="2">
        <v>178.6</v>
      </c>
      <c r="X362" s="2">
        <v>186.6</v>
      </c>
      <c r="Y362" s="2">
        <v>169</v>
      </c>
      <c r="Z362" s="2">
        <v>172.8</v>
      </c>
      <c r="AA362" s="2">
        <v>178.5</v>
      </c>
      <c r="AB362" s="2">
        <v>180.7</v>
      </c>
      <c r="AC362" s="2">
        <v>177.9</v>
      </c>
      <c r="AD362" s="2">
        <v>178</v>
      </c>
    </row>
    <row r="363" spans="1:30" ht="14.4" x14ac:dyDescent="0.3">
      <c r="A363" s="2" t="s">
        <v>33</v>
      </c>
      <c r="B363" s="2">
        <v>2023</v>
      </c>
      <c r="C363" s="2" t="s">
        <v>35</v>
      </c>
      <c r="D363" s="2">
        <v>174.7</v>
      </c>
      <c r="E363" s="2">
        <v>212.2</v>
      </c>
      <c r="F363" s="2">
        <v>177.2</v>
      </c>
      <c r="G363" s="2">
        <v>177.9</v>
      </c>
      <c r="H363" s="2">
        <v>172.2</v>
      </c>
      <c r="I363" s="2">
        <v>172.1</v>
      </c>
      <c r="J363" s="2">
        <v>175.8</v>
      </c>
      <c r="K363" s="2">
        <v>172.2</v>
      </c>
      <c r="L363" s="2">
        <v>121.9</v>
      </c>
      <c r="M363" s="2">
        <v>204.8</v>
      </c>
      <c r="N363" s="2">
        <v>164.9</v>
      </c>
      <c r="O363" s="2">
        <v>196.6</v>
      </c>
      <c r="P363" s="2">
        <v>180.7</v>
      </c>
      <c r="Q363" s="2">
        <v>202.7</v>
      </c>
      <c r="R363" s="2">
        <v>180.3</v>
      </c>
      <c r="S363" s="2">
        <v>167</v>
      </c>
      <c r="T363" s="2">
        <v>178.2</v>
      </c>
      <c r="U363" s="2">
        <v>173.5</v>
      </c>
      <c r="V363" s="2">
        <v>182.8</v>
      </c>
      <c r="W363" s="2">
        <v>169.2</v>
      </c>
      <c r="X363" s="2">
        <v>180.8</v>
      </c>
      <c r="Y363" s="2">
        <v>159.80000000000001</v>
      </c>
      <c r="Z363" s="2">
        <v>168.4</v>
      </c>
      <c r="AA363" s="2">
        <v>172.5</v>
      </c>
      <c r="AB363" s="2">
        <v>181.4</v>
      </c>
      <c r="AC363" s="2">
        <v>170</v>
      </c>
      <c r="AD363" s="2">
        <v>176.3</v>
      </c>
    </row>
    <row r="364" spans="1:30" ht="14.4" x14ac:dyDescent="0.3">
      <c r="A364" s="2" t="s">
        <v>34</v>
      </c>
      <c r="B364" s="2">
        <v>2023</v>
      </c>
      <c r="C364" s="2" t="s">
        <v>35</v>
      </c>
      <c r="D364" s="2">
        <v>174.4</v>
      </c>
      <c r="E364" s="2">
        <v>207.7</v>
      </c>
      <c r="F364" s="2">
        <v>175.2</v>
      </c>
      <c r="G364" s="2">
        <v>177.3</v>
      </c>
      <c r="H364" s="2">
        <v>179.3</v>
      </c>
      <c r="I364" s="2">
        <v>169.5</v>
      </c>
      <c r="J364" s="2">
        <v>152.69999999999999</v>
      </c>
      <c r="K364" s="2">
        <v>171</v>
      </c>
      <c r="L364" s="2">
        <v>120</v>
      </c>
      <c r="M364" s="2">
        <v>209.7</v>
      </c>
      <c r="N364" s="2">
        <v>172.3</v>
      </c>
      <c r="O364" s="2">
        <v>193</v>
      </c>
      <c r="P364" s="2">
        <v>177</v>
      </c>
      <c r="Q364" s="2">
        <v>199.5</v>
      </c>
      <c r="R364" s="2">
        <v>186.2</v>
      </c>
      <c r="S364" s="2">
        <v>178.7</v>
      </c>
      <c r="T364" s="2">
        <v>185.1</v>
      </c>
      <c r="U364" s="2">
        <v>173.5</v>
      </c>
      <c r="V364" s="2">
        <v>182.1</v>
      </c>
      <c r="W364" s="2">
        <v>174.2</v>
      </c>
      <c r="X364" s="2">
        <v>184.4</v>
      </c>
      <c r="Y364" s="2">
        <v>164.2</v>
      </c>
      <c r="Z364" s="2">
        <v>170.3</v>
      </c>
      <c r="AA364" s="2">
        <v>175</v>
      </c>
      <c r="AB364" s="2">
        <v>181</v>
      </c>
      <c r="AC364" s="2">
        <v>174.1</v>
      </c>
      <c r="AD364" s="2">
        <v>177.2</v>
      </c>
    </row>
    <row r="365" spans="1:30" ht="14.4" x14ac:dyDescent="0.3">
      <c r="A365" s="2" t="s">
        <v>30</v>
      </c>
      <c r="B365" s="2">
        <v>2023</v>
      </c>
      <c r="C365" s="2" t="s">
        <v>36</v>
      </c>
      <c r="D365" s="2">
        <v>174.3</v>
      </c>
      <c r="E365" s="2">
        <v>205.2</v>
      </c>
      <c r="F365" s="2">
        <v>173.9</v>
      </c>
      <c r="G365" s="2">
        <v>177</v>
      </c>
      <c r="H365" s="2">
        <v>183.3</v>
      </c>
      <c r="I365" s="2">
        <v>167.2</v>
      </c>
      <c r="J365" s="2">
        <v>140.9</v>
      </c>
      <c r="K365" s="2">
        <v>170.5</v>
      </c>
      <c r="L365" s="2">
        <v>119.1</v>
      </c>
      <c r="M365" s="2">
        <v>212.1</v>
      </c>
      <c r="N365" s="2">
        <v>177.6</v>
      </c>
      <c r="O365" s="2">
        <v>189.9</v>
      </c>
      <c r="P365" s="2">
        <v>174.8</v>
      </c>
      <c r="Q365" s="2">
        <v>198.4</v>
      </c>
      <c r="R365" s="2">
        <v>190</v>
      </c>
      <c r="S365" s="2">
        <v>187</v>
      </c>
      <c r="T365" s="2">
        <v>189.6</v>
      </c>
      <c r="U365" s="2" t="s">
        <v>32</v>
      </c>
      <c r="V365" s="2">
        <v>181.4</v>
      </c>
      <c r="W365" s="2">
        <v>178.6</v>
      </c>
      <c r="X365" s="2">
        <v>186.6</v>
      </c>
      <c r="Y365" s="2">
        <v>169</v>
      </c>
      <c r="Z365" s="2">
        <v>172.8</v>
      </c>
      <c r="AA365" s="2">
        <v>178.5</v>
      </c>
      <c r="AB365" s="2">
        <v>180.7</v>
      </c>
      <c r="AC365" s="2">
        <v>177.9</v>
      </c>
      <c r="AD365" s="2">
        <v>178</v>
      </c>
    </row>
    <row r="366" spans="1:30" ht="14.4" x14ac:dyDescent="0.3">
      <c r="A366" s="2" t="s">
        <v>33</v>
      </c>
      <c r="B366" s="2">
        <v>2023</v>
      </c>
      <c r="C366" s="2" t="s">
        <v>36</v>
      </c>
      <c r="D366" s="2">
        <v>174.7</v>
      </c>
      <c r="E366" s="2">
        <v>212.2</v>
      </c>
      <c r="F366" s="2">
        <v>177.2</v>
      </c>
      <c r="G366" s="2">
        <v>177.9</v>
      </c>
      <c r="H366" s="2">
        <v>172.2</v>
      </c>
      <c r="I366" s="2">
        <v>172.1</v>
      </c>
      <c r="J366" s="2">
        <v>175.9</v>
      </c>
      <c r="K366" s="2">
        <v>172.2</v>
      </c>
      <c r="L366" s="2">
        <v>121.9</v>
      </c>
      <c r="M366" s="2">
        <v>204.8</v>
      </c>
      <c r="N366" s="2">
        <v>164.9</v>
      </c>
      <c r="O366" s="2">
        <v>196.6</v>
      </c>
      <c r="P366" s="2">
        <v>180.8</v>
      </c>
      <c r="Q366" s="2">
        <v>202.7</v>
      </c>
      <c r="R366" s="2">
        <v>180.2</v>
      </c>
      <c r="S366" s="2">
        <v>167</v>
      </c>
      <c r="T366" s="2">
        <v>178.2</v>
      </c>
      <c r="U366" s="2">
        <v>173.5</v>
      </c>
      <c r="V366" s="2">
        <v>182.6</v>
      </c>
      <c r="W366" s="2">
        <v>169.2</v>
      </c>
      <c r="X366" s="2">
        <v>180.8</v>
      </c>
      <c r="Y366" s="2">
        <v>159.80000000000001</v>
      </c>
      <c r="Z366" s="2">
        <v>168.4</v>
      </c>
      <c r="AA366" s="2">
        <v>172.5</v>
      </c>
      <c r="AB366" s="2">
        <v>181.5</v>
      </c>
      <c r="AC366" s="2">
        <v>170</v>
      </c>
      <c r="AD366" s="2">
        <v>176.3</v>
      </c>
    </row>
    <row r="367" spans="1:30" ht="14.4" x14ac:dyDescent="0.3">
      <c r="A367" s="2" t="s">
        <v>34</v>
      </c>
      <c r="B367" s="2">
        <v>2023</v>
      </c>
      <c r="C367" s="2" t="s">
        <v>36</v>
      </c>
      <c r="D367" s="2">
        <v>174.4</v>
      </c>
      <c r="E367" s="2">
        <v>207.7</v>
      </c>
      <c r="F367" s="2">
        <v>175.2</v>
      </c>
      <c r="G367" s="2">
        <v>177.3</v>
      </c>
      <c r="H367" s="2">
        <v>179.2</v>
      </c>
      <c r="I367" s="2">
        <v>169.5</v>
      </c>
      <c r="J367" s="2">
        <v>152.80000000000001</v>
      </c>
      <c r="K367" s="2">
        <v>171.1</v>
      </c>
      <c r="L367" s="2">
        <v>120</v>
      </c>
      <c r="M367" s="2">
        <v>209.7</v>
      </c>
      <c r="N367" s="2">
        <v>172.3</v>
      </c>
      <c r="O367" s="2">
        <v>193</v>
      </c>
      <c r="P367" s="2">
        <v>177</v>
      </c>
      <c r="Q367" s="2">
        <v>199.5</v>
      </c>
      <c r="R367" s="2">
        <v>186.1</v>
      </c>
      <c r="S367" s="2">
        <v>178.7</v>
      </c>
      <c r="T367" s="2">
        <v>185.1</v>
      </c>
      <c r="U367" s="2">
        <v>173.5</v>
      </c>
      <c r="V367" s="2">
        <v>181.9</v>
      </c>
      <c r="W367" s="2">
        <v>174.2</v>
      </c>
      <c r="X367" s="2">
        <v>184.4</v>
      </c>
      <c r="Y367" s="2">
        <v>164.2</v>
      </c>
      <c r="Z367" s="2">
        <v>170.3</v>
      </c>
      <c r="AA367" s="2">
        <v>175</v>
      </c>
      <c r="AB367" s="2">
        <v>181</v>
      </c>
      <c r="AC367" s="2">
        <v>174.1</v>
      </c>
      <c r="AD367" s="2">
        <v>177.2</v>
      </c>
    </row>
    <row r="368" spans="1:30" ht="14.4" x14ac:dyDescent="0.3">
      <c r="A368" s="2" t="s">
        <v>30</v>
      </c>
      <c r="B368" s="2">
        <v>2023</v>
      </c>
      <c r="C368" s="2" t="s">
        <v>37</v>
      </c>
      <c r="D368" s="2">
        <v>173.3</v>
      </c>
      <c r="E368" s="2">
        <v>206.9</v>
      </c>
      <c r="F368" s="2">
        <v>167.9</v>
      </c>
      <c r="G368" s="2">
        <v>178.2</v>
      </c>
      <c r="H368" s="2">
        <v>178.5</v>
      </c>
      <c r="I368" s="2">
        <v>173.7</v>
      </c>
      <c r="J368" s="2">
        <v>142.80000000000001</v>
      </c>
      <c r="K368" s="2">
        <v>172.8</v>
      </c>
      <c r="L368" s="2">
        <v>120.4</v>
      </c>
      <c r="M368" s="2">
        <v>215.5</v>
      </c>
      <c r="N368" s="2">
        <v>178.2</v>
      </c>
      <c r="O368" s="2">
        <v>190.5</v>
      </c>
      <c r="P368" s="2">
        <v>175.5</v>
      </c>
      <c r="Q368" s="2">
        <v>199.5</v>
      </c>
      <c r="R368" s="2">
        <v>190.7</v>
      </c>
      <c r="S368" s="2">
        <v>187.3</v>
      </c>
      <c r="T368" s="2">
        <v>190.2</v>
      </c>
      <c r="U368" s="2" t="s">
        <v>47</v>
      </c>
      <c r="V368" s="2">
        <v>181.5</v>
      </c>
      <c r="W368" s="2">
        <v>179.1</v>
      </c>
      <c r="X368" s="2">
        <v>187.2</v>
      </c>
      <c r="Y368" s="2">
        <v>169.4</v>
      </c>
      <c r="Z368" s="2">
        <v>173.2</v>
      </c>
      <c r="AA368" s="2">
        <v>179.4</v>
      </c>
      <c r="AB368" s="2">
        <v>183.8</v>
      </c>
      <c r="AC368" s="2">
        <v>178.9</v>
      </c>
      <c r="AD368" s="2">
        <v>178.8</v>
      </c>
    </row>
    <row r="369" spans="1:30" ht="14.4" x14ac:dyDescent="0.3">
      <c r="A369" s="2" t="s">
        <v>33</v>
      </c>
      <c r="B369" s="2">
        <v>2023</v>
      </c>
      <c r="C369" s="2" t="s">
        <v>37</v>
      </c>
      <c r="D369" s="2">
        <v>174.8</v>
      </c>
      <c r="E369" s="2">
        <v>213.7</v>
      </c>
      <c r="F369" s="2">
        <v>172.4</v>
      </c>
      <c r="G369" s="2">
        <v>178.8</v>
      </c>
      <c r="H369" s="2">
        <v>168.7</v>
      </c>
      <c r="I369" s="2">
        <v>179.2</v>
      </c>
      <c r="J369" s="2">
        <v>179.9</v>
      </c>
      <c r="K369" s="2">
        <v>174.7</v>
      </c>
      <c r="L369" s="2">
        <v>123.1</v>
      </c>
      <c r="M369" s="2">
        <v>207.8</v>
      </c>
      <c r="N369" s="2">
        <v>165.5</v>
      </c>
      <c r="O369" s="2">
        <v>197</v>
      </c>
      <c r="P369" s="2">
        <v>182.1</v>
      </c>
      <c r="Q369" s="2">
        <v>203.5</v>
      </c>
      <c r="R369" s="2">
        <v>181</v>
      </c>
      <c r="S369" s="2">
        <v>167.7</v>
      </c>
      <c r="T369" s="2">
        <v>178.9</v>
      </c>
      <c r="U369" s="2">
        <v>175.2</v>
      </c>
      <c r="V369" s="2">
        <v>182.1</v>
      </c>
      <c r="W369" s="2">
        <v>169.6</v>
      </c>
      <c r="X369" s="2">
        <v>181.5</v>
      </c>
      <c r="Y369" s="2">
        <v>160.1</v>
      </c>
      <c r="Z369" s="2">
        <v>168.8</v>
      </c>
      <c r="AA369" s="2">
        <v>174.2</v>
      </c>
      <c r="AB369" s="2">
        <v>184.4</v>
      </c>
      <c r="AC369" s="2">
        <v>170.9</v>
      </c>
      <c r="AD369" s="2">
        <v>177.4</v>
      </c>
    </row>
    <row r="370" spans="1:30" ht="14.4" x14ac:dyDescent="0.3">
      <c r="A370" s="2" t="s">
        <v>34</v>
      </c>
      <c r="B370" s="2">
        <v>2023</v>
      </c>
      <c r="C370" s="2" t="s">
        <v>37</v>
      </c>
      <c r="D370" s="2">
        <v>173.8</v>
      </c>
      <c r="E370" s="2">
        <v>209.3</v>
      </c>
      <c r="F370" s="2">
        <v>169.6</v>
      </c>
      <c r="G370" s="2">
        <v>178.4</v>
      </c>
      <c r="H370" s="2">
        <v>174.9</v>
      </c>
      <c r="I370" s="2">
        <v>176.3</v>
      </c>
      <c r="J370" s="2">
        <v>155.4</v>
      </c>
      <c r="K370" s="2">
        <v>173.4</v>
      </c>
      <c r="L370" s="2">
        <v>121.3</v>
      </c>
      <c r="M370" s="2">
        <v>212.9</v>
      </c>
      <c r="N370" s="2">
        <v>172.9</v>
      </c>
      <c r="O370" s="2">
        <v>193.5</v>
      </c>
      <c r="P370" s="2">
        <v>177.9</v>
      </c>
      <c r="Q370" s="2">
        <v>200.6</v>
      </c>
      <c r="R370" s="2">
        <v>186.9</v>
      </c>
      <c r="S370" s="2">
        <v>179.2</v>
      </c>
      <c r="T370" s="2">
        <v>185.7</v>
      </c>
      <c r="U370" s="2">
        <v>175.2</v>
      </c>
      <c r="V370" s="2">
        <v>181.7</v>
      </c>
      <c r="W370" s="2">
        <v>174.6</v>
      </c>
      <c r="X370" s="2">
        <v>185</v>
      </c>
      <c r="Y370" s="2">
        <v>164.5</v>
      </c>
      <c r="Z370" s="2">
        <v>170.7</v>
      </c>
      <c r="AA370" s="2">
        <v>176.4</v>
      </c>
      <c r="AB370" s="2">
        <v>184</v>
      </c>
      <c r="AC370" s="2">
        <v>175</v>
      </c>
      <c r="AD370" s="2">
        <v>178.1</v>
      </c>
    </row>
    <row r="371" spans="1:30" ht="14.4" x14ac:dyDescent="0.3">
      <c r="A371" s="2" t="s">
        <v>30</v>
      </c>
      <c r="B371" s="2">
        <v>2023</v>
      </c>
      <c r="C371" s="2" t="s">
        <v>38</v>
      </c>
      <c r="D371" s="2">
        <v>173.2</v>
      </c>
      <c r="E371" s="2">
        <v>211.5</v>
      </c>
      <c r="F371" s="2">
        <v>171</v>
      </c>
      <c r="G371" s="2">
        <v>179.6</v>
      </c>
      <c r="H371" s="2">
        <v>173.3</v>
      </c>
      <c r="I371" s="2">
        <v>169</v>
      </c>
      <c r="J371" s="2">
        <v>148.69999999999999</v>
      </c>
      <c r="K371" s="2">
        <v>174.9</v>
      </c>
      <c r="L371" s="2">
        <v>121.9</v>
      </c>
      <c r="M371" s="2">
        <v>221</v>
      </c>
      <c r="N371" s="2">
        <v>178.7</v>
      </c>
      <c r="O371" s="2">
        <v>191.1</v>
      </c>
      <c r="P371" s="2">
        <v>176.8</v>
      </c>
      <c r="Q371" s="2">
        <v>199.9</v>
      </c>
      <c r="R371" s="2">
        <v>191.2</v>
      </c>
      <c r="S371" s="2">
        <v>187.9</v>
      </c>
      <c r="T371" s="2">
        <v>190.8</v>
      </c>
      <c r="U371" s="2" t="s">
        <v>47</v>
      </c>
      <c r="V371" s="2">
        <v>182.5</v>
      </c>
      <c r="W371" s="2">
        <v>179.8</v>
      </c>
      <c r="X371" s="2">
        <v>187.8</v>
      </c>
      <c r="Y371" s="2">
        <v>169.7</v>
      </c>
      <c r="Z371" s="2">
        <v>173.8</v>
      </c>
      <c r="AA371" s="2">
        <v>180.3</v>
      </c>
      <c r="AB371" s="2">
        <v>184.9</v>
      </c>
      <c r="AC371" s="2">
        <v>179.5</v>
      </c>
      <c r="AD371" s="2">
        <v>179.8</v>
      </c>
    </row>
    <row r="372" spans="1:30" ht="14.4" x14ac:dyDescent="0.3">
      <c r="A372" s="2" t="s">
        <v>33</v>
      </c>
      <c r="B372" s="2">
        <v>2023</v>
      </c>
      <c r="C372" s="2" t="s">
        <v>38</v>
      </c>
      <c r="D372" s="2">
        <v>174.7</v>
      </c>
      <c r="E372" s="2">
        <v>219.4</v>
      </c>
      <c r="F372" s="2">
        <v>176.7</v>
      </c>
      <c r="G372" s="2">
        <v>179.4</v>
      </c>
      <c r="H372" s="2">
        <v>164.4</v>
      </c>
      <c r="I372" s="2">
        <v>175.8</v>
      </c>
      <c r="J372" s="2">
        <v>185</v>
      </c>
      <c r="K372" s="2">
        <v>176.9</v>
      </c>
      <c r="L372" s="2">
        <v>124.2</v>
      </c>
      <c r="M372" s="2">
        <v>211.9</v>
      </c>
      <c r="N372" s="2">
        <v>165.9</v>
      </c>
      <c r="O372" s="2">
        <v>197.7</v>
      </c>
      <c r="P372" s="2">
        <v>183.1</v>
      </c>
      <c r="Q372" s="2">
        <v>204.2</v>
      </c>
      <c r="R372" s="2">
        <v>181.3</v>
      </c>
      <c r="S372" s="2">
        <v>168.1</v>
      </c>
      <c r="T372" s="2">
        <v>179.3</v>
      </c>
      <c r="U372" s="2">
        <v>175.6</v>
      </c>
      <c r="V372" s="2">
        <v>183.4</v>
      </c>
      <c r="W372" s="2">
        <v>170.1</v>
      </c>
      <c r="X372" s="2">
        <v>182.2</v>
      </c>
      <c r="Y372" s="2">
        <v>160.4</v>
      </c>
      <c r="Z372" s="2">
        <v>169.2</v>
      </c>
      <c r="AA372" s="2">
        <v>174.8</v>
      </c>
      <c r="AB372" s="2">
        <v>185.6</v>
      </c>
      <c r="AC372" s="2">
        <v>171.6</v>
      </c>
      <c r="AD372" s="2">
        <v>178.2</v>
      </c>
    </row>
    <row r="373" spans="1:30" ht="14.4" x14ac:dyDescent="0.3">
      <c r="A373" s="2" t="s">
        <v>34</v>
      </c>
      <c r="B373" s="2">
        <v>2023</v>
      </c>
      <c r="C373" s="2" t="s">
        <v>38</v>
      </c>
      <c r="D373" s="2">
        <v>173.7</v>
      </c>
      <c r="E373" s="2">
        <v>214.3</v>
      </c>
      <c r="F373" s="2">
        <v>173.2</v>
      </c>
      <c r="G373" s="2">
        <v>179.5</v>
      </c>
      <c r="H373" s="2">
        <v>170</v>
      </c>
      <c r="I373" s="2">
        <v>172.2</v>
      </c>
      <c r="J373" s="2">
        <v>161</v>
      </c>
      <c r="K373" s="2">
        <v>175.6</v>
      </c>
      <c r="L373" s="2">
        <v>122.7</v>
      </c>
      <c r="M373" s="2">
        <v>218</v>
      </c>
      <c r="N373" s="2">
        <v>173.4</v>
      </c>
      <c r="O373" s="2">
        <v>194.2</v>
      </c>
      <c r="P373" s="2">
        <v>179.1</v>
      </c>
      <c r="Q373" s="2">
        <v>201</v>
      </c>
      <c r="R373" s="2">
        <v>187.3</v>
      </c>
      <c r="S373" s="2">
        <v>179.7</v>
      </c>
      <c r="T373" s="2">
        <v>186.2</v>
      </c>
      <c r="U373" s="2">
        <v>175.6</v>
      </c>
      <c r="V373" s="2">
        <v>182.8</v>
      </c>
      <c r="W373" s="2">
        <v>175.2</v>
      </c>
      <c r="X373" s="2">
        <v>185.7</v>
      </c>
      <c r="Y373" s="2">
        <v>164.8</v>
      </c>
      <c r="Z373" s="2">
        <v>171.2</v>
      </c>
      <c r="AA373" s="2">
        <v>177.1</v>
      </c>
      <c r="AB373" s="2">
        <v>185.2</v>
      </c>
      <c r="AC373" s="2">
        <v>175.7</v>
      </c>
      <c r="AD373" s="2">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FAD-9EAD-4CCE-A2A1-352F3BFA8510}">
  <dimension ref="A1:A9"/>
  <sheetViews>
    <sheetView zoomScale="140" zoomScaleNormal="140" workbookViewId="0">
      <selection activeCell="B13" sqref="B13"/>
    </sheetView>
  </sheetViews>
  <sheetFormatPr defaultRowHeight="13.8" x14ac:dyDescent="0.25"/>
  <sheetData>
    <row r="1" spans="1:1" ht="15.6" x14ac:dyDescent="0.3">
      <c r="A1" s="4" t="s">
        <v>50</v>
      </c>
    </row>
    <row r="3" spans="1:1" x14ac:dyDescent="0.25">
      <c r="A3" t="s">
        <v>51</v>
      </c>
    </row>
    <row r="4" spans="1:1" x14ac:dyDescent="0.25">
      <c r="A4" t="s">
        <v>52</v>
      </c>
    </row>
    <row r="5" spans="1:1" x14ac:dyDescent="0.25">
      <c r="A5" t="s">
        <v>55</v>
      </c>
    </row>
    <row r="6" spans="1:1" x14ac:dyDescent="0.25">
      <c r="A6" t="s">
        <v>53</v>
      </c>
    </row>
    <row r="7" spans="1:1" x14ac:dyDescent="0.25">
      <c r="A7" t="s">
        <v>54</v>
      </c>
    </row>
    <row r="8" spans="1:1" x14ac:dyDescent="0.25">
      <c r="A8" t="s">
        <v>63</v>
      </c>
    </row>
    <row r="9" spans="1:1" x14ac:dyDescent="0.25">
      <c r="A9"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53772-1806-4DF8-BF2D-2C4C4E5612A6}">
  <dimension ref="A1:BJ125"/>
  <sheetViews>
    <sheetView zoomScale="80" zoomScaleNormal="80" workbookViewId="0">
      <selection activeCell="D8" sqref="D8"/>
    </sheetView>
  </sheetViews>
  <sheetFormatPr defaultRowHeight="13.8" x14ac:dyDescent="0.25"/>
  <cols>
    <col min="1" max="1" width="10.6640625" bestFit="1" customWidth="1"/>
    <col min="2" max="2" width="5" bestFit="1" customWidth="1"/>
    <col min="3" max="3" width="9.44140625" bestFit="1" customWidth="1"/>
    <col min="4" max="4" width="9.44140625" customWidth="1"/>
    <col min="5" max="5" width="10.88671875" bestFit="1" customWidth="1"/>
    <col min="6" max="6" width="17.6640625" customWidth="1"/>
    <col min="7" max="7" width="11.77734375" customWidth="1"/>
    <col min="8" max="8" width="6" customWidth="1"/>
    <col min="9" max="9" width="15.21875" customWidth="1"/>
    <col min="10" max="10" width="10.6640625" customWidth="1"/>
    <col min="11" max="11" width="6" customWidth="1"/>
    <col min="12" max="12" width="9.77734375" customWidth="1"/>
    <col min="13" max="13" width="16.77734375" customWidth="1"/>
    <col min="14" max="14" width="20.33203125" customWidth="1"/>
    <col min="15" max="15" width="6" customWidth="1"/>
    <col min="16" max="16" width="20.33203125" customWidth="1"/>
    <col min="17" max="17" width="29.88671875" customWidth="1"/>
    <col min="18" max="18" width="16.88671875" bestFit="1" customWidth="1"/>
    <col min="19" max="19" width="23.5546875" bestFit="1" customWidth="1"/>
    <col min="20" max="20" width="7.44140625" customWidth="1"/>
    <col min="21" max="21" width="8.5546875" customWidth="1"/>
    <col min="22" max="22" width="18.6640625" bestFit="1" customWidth="1"/>
    <col min="23" max="23" width="7.33203125" bestFit="1" customWidth="1"/>
    <col min="24" max="24" width="11.5546875" bestFit="1" customWidth="1"/>
    <col min="25" max="25" width="25" customWidth="1"/>
    <col min="26" max="26" width="6.21875" bestFit="1" customWidth="1"/>
    <col min="27" max="27" width="24.77734375" bestFit="1" customWidth="1"/>
    <col min="28" max="28" width="23.109375" bestFit="1" customWidth="1"/>
    <col min="29" max="29" width="8.6640625" bestFit="1" customWidth="1"/>
    <col min="30" max="30" width="20.88671875" bestFit="1" customWidth="1"/>
    <col min="31" max="31" width="12.21875" bestFit="1" customWidth="1"/>
    <col min="32" max="32" width="12" bestFit="1" customWidth="1"/>
    <col min="36" max="36" width="17.77734375" bestFit="1" customWidth="1"/>
    <col min="37" max="37" width="11.88671875" bestFit="1" customWidth="1"/>
    <col min="38" max="38" width="11.33203125" customWidth="1"/>
    <col min="39" max="39" width="15.33203125" bestFit="1" customWidth="1"/>
    <col min="40" max="40" width="10.77734375" bestFit="1" customWidth="1"/>
    <col min="41" max="42" width="10.5546875" bestFit="1" customWidth="1"/>
    <col min="43" max="43" width="16.88671875" bestFit="1" customWidth="1"/>
    <col min="44" max="44" width="20.44140625" bestFit="1" customWidth="1"/>
    <col min="45" max="45" width="10.5546875" bestFit="1" customWidth="1"/>
    <col min="46" max="46" width="20.44140625" bestFit="1" customWidth="1"/>
    <col min="47" max="47" width="30" bestFit="1" customWidth="1"/>
    <col min="48" max="48" width="17" bestFit="1" customWidth="1"/>
    <col min="49" max="49" width="23.6640625" bestFit="1" customWidth="1"/>
    <col min="50" max="51" width="10.5546875" bestFit="1" customWidth="1"/>
    <col min="52" max="52" width="18.77734375" bestFit="1" customWidth="1"/>
    <col min="53" max="53" width="10.5546875" bestFit="1" customWidth="1"/>
    <col min="54" max="54" width="11.6640625" bestFit="1" customWidth="1"/>
    <col min="55" max="55" width="25.109375" bestFit="1" customWidth="1"/>
    <col min="56" max="56" width="10.5546875" bestFit="1" customWidth="1"/>
    <col min="57" max="57" width="24.88671875" bestFit="1" customWidth="1"/>
    <col min="58" max="58" width="23.21875" bestFit="1" customWidth="1"/>
    <col min="59" max="59" width="10.5546875" bestFit="1" customWidth="1"/>
    <col min="60" max="60" width="21" bestFit="1" customWidth="1"/>
    <col min="61" max="61" width="12.33203125" bestFit="1" customWidth="1"/>
    <col min="62" max="62" width="12.109375" bestFit="1" customWidth="1"/>
  </cols>
  <sheetData>
    <row r="1" spans="1:62" ht="14.4" x14ac:dyDescent="0.3">
      <c r="A1" s="1" t="s">
        <v>0</v>
      </c>
      <c r="B1" s="1" t="s">
        <v>1</v>
      </c>
      <c r="C1" s="1" t="s">
        <v>2</v>
      </c>
      <c r="D1" s="1" t="s">
        <v>48</v>
      </c>
      <c r="E1" s="1" t="s">
        <v>49</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62" ht="14.4" x14ac:dyDescent="0.3">
      <c r="A2" s="2" t="s">
        <v>34</v>
      </c>
      <c r="B2" s="2">
        <v>2013</v>
      </c>
      <c r="C2" s="2" t="s">
        <v>31</v>
      </c>
      <c r="D2" s="3">
        <v>41275</v>
      </c>
      <c r="E2" s="2" t="str">
        <f t="shared" ref="E2:E33" si="0">IF(D2&lt;DATE(2020,3,1),"Pre-Covid","Post-Covid")</f>
        <v>Pre-Covid</v>
      </c>
      <c r="F2" s="9">
        <v>108.4</v>
      </c>
      <c r="G2" s="9">
        <v>107.3</v>
      </c>
      <c r="H2" s="9">
        <v>110</v>
      </c>
      <c r="I2" s="9">
        <v>104.4</v>
      </c>
      <c r="J2" s="9">
        <v>105.1</v>
      </c>
      <c r="K2" s="9">
        <v>103.2</v>
      </c>
      <c r="L2" s="9">
        <v>102.2</v>
      </c>
      <c r="M2" s="9">
        <v>106</v>
      </c>
      <c r="N2" s="9">
        <v>106.2</v>
      </c>
      <c r="O2" s="9">
        <v>102.7</v>
      </c>
      <c r="P2" s="9">
        <v>104.9</v>
      </c>
      <c r="Q2" s="9">
        <v>107.3</v>
      </c>
      <c r="R2" s="9">
        <v>105.6</v>
      </c>
      <c r="S2" s="9">
        <v>105.1</v>
      </c>
      <c r="T2" s="9">
        <v>106.3</v>
      </c>
      <c r="U2" s="9">
        <v>105.5</v>
      </c>
      <c r="V2" s="9">
        <v>106.2</v>
      </c>
      <c r="W2" s="9">
        <v>100.3</v>
      </c>
      <c r="X2" s="9">
        <v>105.5</v>
      </c>
      <c r="Y2" s="9">
        <v>104.8</v>
      </c>
      <c r="Z2" s="9">
        <v>104</v>
      </c>
      <c r="AA2" s="9">
        <v>103.2</v>
      </c>
      <c r="AB2" s="9">
        <v>103.1</v>
      </c>
      <c r="AC2" s="9">
        <v>103.6</v>
      </c>
      <c r="AD2" s="9">
        <v>104.5</v>
      </c>
      <c r="AE2" s="9">
        <v>103.9</v>
      </c>
      <c r="AF2" s="9">
        <v>104.6</v>
      </c>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row>
    <row r="3" spans="1:62" ht="14.4" x14ac:dyDescent="0.3">
      <c r="A3" s="2" t="s">
        <v>34</v>
      </c>
      <c r="B3" s="2">
        <v>2013</v>
      </c>
      <c r="C3" s="2" t="s">
        <v>35</v>
      </c>
      <c r="D3" s="3">
        <v>41306</v>
      </c>
      <c r="E3" s="2" t="str">
        <f t="shared" si="0"/>
        <v>Pre-Covid</v>
      </c>
      <c r="F3" s="9">
        <v>110.4</v>
      </c>
      <c r="G3" s="9">
        <v>110.2</v>
      </c>
      <c r="H3" s="9">
        <v>112.8</v>
      </c>
      <c r="I3" s="9">
        <v>104.9</v>
      </c>
      <c r="J3" s="9">
        <v>105.5</v>
      </c>
      <c r="K3" s="9">
        <v>103.6</v>
      </c>
      <c r="L3" s="9">
        <v>103.2</v>
      </c>
      <c r="M3" s="9">
        <v>105.3</v>
      </c>
      <c r="N3" s="9">
        <v>105.1</v>
      </c>
      <c r="O3" s="9">
        <v>102.8</v>
      </c>
      <c r="P3" s="9">
        <v>105.5</v>
      </c>
      <c r="Q3" s="9">
        <v>108.3</v>
      </c>
      <c r="R3" s="9">
        <v>106.6</v>
      </c>
      <c r="S3" s="9">
        <v>105.7</v>
      </c>
      <c r="T3" s="9">
        <v>106.9</v>
      </c>
      <c r="U3" s="9">
        <v>106</v>
      </c>
      <c r="V3" s="9">
        <v>106.8</v>
      </c>
      <c r="W3" s="9">
        <v>100.4</v>
      </c>
      <c r="X3" s="9">
        <v>106</v>
      </c>
      <c r="Y3" s="9">
        <v>105.2</v>
      </c>
      <c r="Z3" s="9">
        <v>104.5</v>
      </c>
      <c r="AA3" s="9">
        <v>104.2</v>
      </c>
      <c r="AB3" s="9">
        <v>103.6</v>
      </c>
      <c r="AC3" s="9">
        <v>103.9</v>
      </c>
      <c r="AD3" s="9">
        <v>104.5</v>
      </c>
      <c r="AE3" s="9">
        <v>104.4</v>
      </c>
      <c r="AF3" s="9">
        <v>105.3</v>
      </c>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row>
    <row r="4" spans="1:62" ht="14.4" x14ac:dyDescent="0.3">
      <c r="A4" s="2" t="s">
        <v>34</v>
      </c>
      <c r="B4" s="2">
        <v>2013</v>
      </c>
      <c r="C4" s="2" t="s">
        <v>36</v>
      </c>
      <c r="D4" s="3">
        <v>41334</v>
      </c>
      <c r="E4" s="2" t="str">
        <f t="shared" si="0"/>
        <v>Pre-Covid</v>
      </c>
      <c r="F4" s="9">
        <v>111.4</v>
      </c>
      <c r="G4" s="9">
        <v>109.7</v>
      </c>
      <c r="H4" s="9">
        <v>111.2</v>
      </c>
      <c r="I4" s="9">
        <v>105.1</v>
      </c>
      <c r="J4" s="9">
        <v>104.9</v>
      </c>
      <c r="K4" s="9">
        <v>105.3</v>
      </c>
      <c r="L4" s="9">
        <v>102.2</v>
      </c>
      <c r="M4" s="9">
        <v>105</v>
      </c>
      <c r="N4" s="9">
        <v>104.2</v>
      </c>
      <c r="O4" s="9">
        <v>103</v>
      </c>
      <c r="P4" s="9">
        <v>106.2</v>
      </c>
      <c r="Q4" s="9">
        <v>108.9</v>
      </c>
      <c r="R4" s="9">
        <v>106.9</v>
      </c>
      <c r="S4" s="9">
        <v>106.6</v>
      </c>
      <c r="T4" s="9">
        <v>107.4</v>
      </c>
      <c r="U4" s="9">
        <v>106.5</v>
      </c>
      <c r="V4" s="9">
        <v>107.3</v>
      </c>
      <c r="W4" s="9">
        <v>100.4</v>
      </c>
      <c r="X4" s="9">
        <v>106.1</v>
      </c>
      <c r="Y4" s="9">
        <v>105.6</v>
      </c>
      <c r="Z4" s="9">
        <v>104.9</v>
      </c>
      <c r="AA4" s="9">
        <v>105.1</v>
      </c>
      <c r="AB4" s="9">
        <v>103.7</v>
      </c>
      <c r="AC4" s="9">
        <v>104</v>
      </c>
      <c r="AD4" s="9">
        <v>104.3</v>
      </c>
      <c r="AE4" s="9">
        <v>104.7</v>
      </c>
      <c r="AF4" s="9">
        <v>105.5</v>
      </c>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pans="1:62" ht="14.4" x14ac:dyDescent="0.3">
      <c r="A5" s="2" t="s">
        <v>34</v>
      </c>
      <c r="B5" s="2">
        <v>2013</v>
      </c>
      <c r="C5" s="2" t="s">
        <v>37</v>
      </c>
      <c r="D5" s="3">
        <v>41365</v>
      </c>
      <c r="E5" s="2" t="str">
        <f t="shared" si="0"/>
        <v>Pre-Covid</v>
      </c>
      <c r="F5" s="9">
        <v>111.6</v>
      </c>
      <c r="G5" s="9">
        <v>110.9</v>
      </c>
      <c r="H5" s="9">
        <v>106.6</v>
      </c>
      <c r="I5" s="9">
        <v>105.7</v>
      </c>
      <c r="J5" s="9">
        <v>104.4</v>
      </c>
      <c r="K5" s="9">
        <v>108.9</v>
      </c>
      <c r="L5" s="9">
        <v>105.5</v>
      </c>
      <c r="M5" s="9">
        <v>105.3</v>
      </c>
      <c r="N5" s="9">
        <v>103.5</v>
      </c>
      <c r="O5" s="9">
        <v>103.3</v>
      </c>
      <c r="P5" s="9">
        <v>107.2</v>
      </c>
      <c r="Q5" s="9">
        <v>109.6</v>
      </c>
      <c r="R5" s="9">
        <v>107.7</v>
      </c>
      <c r="S5" s="9">
        <v>107.5</v>
      </c>
      <c r="T5" s="9">
        <v>108</v>
      </c>
      <c r="U5" s="9">
        <v>107</v>
      </c>
      <c r="V5" s="9">
        <v>107.9</v>
      </c>
      <c r="W5" s="9">
        <v>100.5</v>
      </c>
      <c r="X5" s="9">
        <v>106.5</v>
      </c>
      <c r="Y5" s="9">
        <v>106.3</v>
      </c>
      <c r="Z5" s="9">
        <v>105.3</v>
      </c>
      <c r="AA5" s="9">
        <v>104.7</v>
      </c>
      <c r="AB5" s="9">
        <v>104.2</v>
      </c>
      <c r="AC5" s="9">
        <v>105</v>
      </c>
      <c r="AD5" s="9">
        <v>102.9</v>
      </c>
      <c r="AE5" s="9">
        <v>104.8</v>
      </c>
      <c r="AF5" s="9">
        <v>106.1</v>
      </c>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row r="6" spans="1:62" ht="14.4" x14ac:dyDescent="0.3">
      <c r="A6" s="2" t="s">
        <v>34</v>
      </c>
      <c r="B6" s="2">
        <v>2013</v>
      </c>
      <c r="C6" s="2" t="s">
        <v>38</v>
      </c>
      <c r="D6" s="3">
        <v>41395</v>
      </c>
      <c r="E6" s="2" t="str">
        <f t="shared" si="0"/>
        <v>Pre-Covid</v>
      </c>
      <c r="F6" s="9">
        <v>112.3</v>
      </c>
      <c r="G6" s="9">
        <v>111.3</v>
      </c>
      <c r="H6" s="9">
        <v>104.7</v>
      </c>
      <c r="I6" s="9">
        <v>106.8</v>
      </c>
      <c r="J6" s="9">
        <v>103.9</v>
      </c>
      <c r="K6" s="9">
        <v>109.3</v>
      </c>
      <c r="L6" s="9">
        <v>112.9</v>
      </c>
      <c r="M6" s="9">
        <v>105.8</v>
      </c>
      <c r="N6" s="9">
        <v>103.1</v>
      </c>
      <c r="O6" s="9">
        <v>104.3</v>
      </c>
      <c r="P6" s="9">
        <v>108.1</v>
      </c>
      <c r="Q6" s="9">
        <v>110.5</v>
      </c>
      <c r="R6" s="9">
        <v>109.2</v>
      </c>
      <c r="S6" s="9">
        <v>108.6</v>
      </c>
      <c r="T6" s="9">
        <v>108.7</v>
      </c>
      <c r="U6" s="9">
        <v>107.4</v>
      </c>
      <c r="V6" s="9">
        <v>108.5</v>
      </c>
      <c r="W6" s="9">
        <v>100.5</v>
      </c>
      <c r="X6" s="9">
        <v>107.4</v>
      </c>
      <c r="Y6" s="9">
        <v>106.9</v>
      </c>
      <c r="Z6" s="9">
        <v>105.9</v>
      </c>
      <c r="AA6" s="9">
        <v>104</v>
      </c>
      <c r="AB6" s="9">
        <v>104.8</v>
      </c>
      <c r="AC6" s="9">
        <v>105.6</v>
      </c>
      <c r="AD6" s="9">
        <v>102.3</v>
      </c>
      <c r="AE6" s="9">
        <v>104.8</v>
      </c>
      <c r="AF6" s="9">
        <v>106.9</v>
      </c>
    </row>
    <row r="7" spans="1:62" ht="14.4" x14ac:dyDescent="0.3">
      <c r="A7" s="2" t="s">
        <v>34</v>
      </c>
      <c r="B7" s="2">
        <v>2013</v>
      </c>
      <c r="C7" s="2" t="s">
        <v>39</v>
      </c>
      <c r="D7" s="3">
        <v>41426</v>
      </c>
      <c r="E7" s="2" t="str">
        <f t="shared" si="0"/>
        <v>Pre-Covid</v>
      </c>
      <c r="F7" s="9">
        <v>113.8</v>
      </c>
      <c r="G7" s="9">
        <v>114.9</v>
      </c>
      <c r="H7" s="9">
        <v>109.8</v>
      </c>
      <c r="I7" s="9">
        <v>107.9</v>
      </c>
      <c r="J7" s="9">
        <v>104.2</v>
      </c>
      <c r="K7" s="9">
        <v>110.7</v>
      </c>
      <c r="L7" s="9">
        <v>126.7</v>
      </c>
      <c r="M7" s="9">
        <v>106.3</v>
      </c>
      <c r="N7" s="9">
        <v>103.2</v>
      </c>
      <c r="O7" s="9">
        <v>105.7</v>
      </c>
      <c r="P7" s="9">
        <v>109</v>
      </c>
      <c r="Q7" s="9">
        <v>111.6</v>
      </c>
      <c r="R7" s="9">
        <v>112.2</v>
      </c>
      <c r="S7" s="9">
        <v>109.5</v>
      </c>
      <c r="T7" s="9">
        <v>109.5</v>
      </c>
      <c r="U7" s="9">
        <v>108.1</v>
      </c>
      <c r="V7" s="9">
        <v>109.3</v>
      </c>
      <c r="W7" s="9">
        <v>106.6</v>
      </c>
      <c r="X7" s="9">
        <v>108.3</v>
      </c>
      <c r="Y7" s="9">
        <v>107.6</v>
      </c>
      <c r="Z7" s="9">
        <v>106.4</v>
      </c>
      <c r="AA7" s="9">
        <v>105.1</v>
      </c>
      <c r="AB7" s="9">
        <v>105.4</v>
      </c>
      <c r="AC7" s="9">
        <v>107.4</v>
      </c>
      <c r="AD7" s="9">
        <v>102.8</v>
      </c>
      <c r="AE7" s="9">
        <v>105.8</v>
      </c>
      <c r="AF7" s="9">
        <v>109.3</v>
      </c>
    </row>
    <row r="8" spans="1:62" ht="14.4" x14ac:dyDescent="0.3">
      <c r="A8" s="2" t="s">
        <v>34</v>
      </c>
      <c r="B8" s="2">
        <v>2013</v>
      </c>
      <c r="C8" s="2" t="s">
        <v>40</v>
      </c>
      <c r="D8" s="3">
        <v>41456</v>
      </c>
      <c r="E8" s="2" t="str">
        <f t="shared" si="0"/>
        <v>Pre-Covid</v>
      </c>
      <c r="F8" s="9">
        <v>114.8</v>
      </c>
      <c r="G8" s="9">
        <v>116.4</v>
      </c>
      <c r="H8" s="9">
        <v>111.9</v>
      </c>
      <c r="I8" s="9">
        <v>108.9</v>
      </c>
      <c r="J8" s="9">
        <v>104.3</v>
      </c>
      <c r="K8" s="9">
        <v>111.7</v>
      </c>
      <c r="L8" s="9">
        <v>140</v>
      </c>
      <c r="M8" s="9">
        <v>106.4</v>
      </c>
      <c r="N8" s="9">
        <v>103.3</v>
      </c>
      <c r="O8" s="9">
        <v>106.8</v>
      </c>
      <c r="P8" s="9">
        <v>109.6</v>
      </c>
      <c r="Q8" s="9">
        <v>112.6</v>
      </c>
      <c r="R8" s="9">
        <v>114.7</v>
      </c>
      <c r="S8" s="9">
        <v>110.3</v>
      </c>
      <c r="T8" s="9">
        <v>110.2</v>
      </c>
      <c r="U8" s="9">
        <v>108.8</v>
      </c>
      <c r="V8" s="9">
        <v>110</v>
      </c>
      <c r="W8" s="9">
        <v>107.7</v>
      </c>
      <c r="X8" s="9">
        <v>109.2</v>
      </c>
      <c r="Y8" s="9">
        <v>108.2</v>
      </c>
      <c r="Z8" s="9">
        <v>107</v>
      </c>
      <c r="AA8" s="9">
        <v>107.1</v>
      </c>
      <c r="AB8" s="9">
        <v>106.1</v>
      </c>
      <c r="AC8" s="9">
        <v>109.1</v>
      </c>
      <c r="AD8" s="9">
        <v>102.8</v>
      </c>
      <c r="AE8" s="9">
        <v>106.9</v>
      </c>
      <c r="AF8" s="9">
        <v>111</v>
      </c>
    </row>
    <row r="9" spans="1:62" ht="14.4" x14ac:dyDescent="0.3">
      <c r="A9" s="2" t="s">
        <v>34</v>
      </c>
      <c r="B9" s="2">
        <v>2013</v>
      </c>
      <c r="C9" s="2" t="s">
        <v>41</v>
      </c>
      <c r="D9" s="3">
        <v>41487</v>
      </c>
      <c r="E9" s="2" t="str">
        <f t="shared" si="0"/>
        <v>Pre-Covid</v>
      </c>
      <c r="F9" s="9">
        <v>115.6</v>
      </c>
      <c r="G9" s="9">
        <v>117.2</v>
      </c>
      <c r="H9" s="9">
        <v>111.7</v>
      </c>
      <c r="I9" s="9">
        <v>109.6</v>
      </c>
      <c r="J9" s="9">
        <v>104.5</v>
      </c>
      <c r="K9" s="9">
        <v>109.8</v>
      </c>
      <c r="L9" s="9">
        <v>151.80000000000001</v>
      </c>
      <c r="M9" s="9">
        <v>106.5</v>
      </c>
      <c r="N9" s="9">
        <v>103.1</v>
      </c>
      <c r="O9" s="9">
        <v>107.4</v>
      </c>
      <c r="P9" s="9">
        <v>110.2</v>
      </c>
      <c r="Q9" s="9">
        <v>113.4</v>
      </c>
      <c r="R9" s="9">
        <v>116.6</v>
      </c>
      <c r="S9" s="9">
        <v>111.2</v>
      </c>
      <c r="T9" s="9">
        <v>111</v>
      </c>
      <c r="U9" s="9">
        <v>109.4</v>
      </c>
      <c r="V9" s="9">
        <v>110.7</v>
      </c>
      <c r="W9" s="9">
        <v>108.9</v>
      </c>
      <c r="X9" s="9">
        <v>109.7</v>
      </c>
      <c r="Y9" s="9">
        <v>108.7</v>
      </c>
      <c r="Z9" s="9">
        <v>107.5</v>
      </c>
      <c r="AA9" s="9">
        <v>108</v>
      </c>
      <c r="AB9" s="9">
        <v>106.6</v>
      </c>
      <c r="AC9" s="9">
        <v>109.9</v>
      </c>
      <c r="AD9" s="9">
        <v>105.4</v>
      </c>
      <c r="AE9" s="9">
        <v>107.9</v>
      </c>
      <c r="AF9" s="9">
        <v>112.4</v>
      </c>
    </row>
    <row r="10" spans="1:62" ht="14.4" x14ac:dyDescent="0.3">
      <c r="A10" s="2" t="s">
        <v>34</v>
      </c>
      <c r="B10" s="2">
        <v>2013</v>
      </c>
      <c r="C10" s="2" t="s">
        <v>42</v>
      </c>
      <c r="D10" s="3">
        <v>41518</v>
      </c>
      <c r="E10" s="2" t="str">
        <f t="shared" si="0"/>
        <v>Pre-Covid</v>
      </c>
      <c r="F10" s="9">
        <v>116.4</v>
      </c>
      <c r="G10" s="9">
        <v>116.9</v>
      </c>
      <c r="H10" s="9">
        <v>112.3</v>
      </c>
      <c r="I10" s="9">
        <v>110.5</v>
      </c>
      <c r="J10" s="9">
        <v>105.3</v>
      </c>
      <c r="K10" s="9">
        <v>107.3</v>
      </c>
      <c r="L10" s="9">
        <v>160.9</v>
      </c>
      <c r="M10" s="9">
        <v>107.1</v>
      </c>
      <c r="N10" s="9">
        <v>103.1</v>
      </c>
      <c r="O10" s="9">
        <v>108.3</v>
      </c>
      <c r="P10" s="9">
        <v>110.7</v>
      </c>
      <c r="Q10" s="9">
        <v>114.6</v>
      </c>
      <c r="R10" s="9">
        <v>118.3</v>
      </c>
      <c r="S10" s="9">
        <v>112</v>
      </c>
      <c r="T10" s="9">
        <v>112.2</v>
      </c>
      <c r="U10" s="9">
        <v>110.4</v>
      </c>
      <c r="V10" s="9">
        <v>111.9</v>
      </c>
      <c r="W10" s="9">
        <v>109.7</v>
      </c>
      <c r="X10" s="9">
        <v>110.5</v>
      </c>
      <c r="Y10" s="9">
        <v>109.6</v>
      </c>
      <c r="Z10" s="9">
        <v>108.1</v>
      </c>
      <c r="AA10" s="9">
        <v>109.9</v>
      </c>
      <c r="AB10" s="9">
        <v>107.5</v>
      </c>
      <c r="AC10" s="9">
        <v>110.6</v>
      </c>
      <c r="AD10" s="9">
        <v>106.8</v>
      </c>
      <c r="AE10" s="9">
        <v>109</v>
      </c>
      <c r="AF10" s="9">
        <v>113.7</v>
      </c>
    </row>
    <row r="11" spans="1:62" ht="14.4" x14ac:dyDescent="0.3">
      <c r="A11" s="2" t="s">
        <v>34</v>
      </c>
      <c r="B11" s="2">
        <v>2013</v>
      </c>
      <c r="C11" s="2" t="s">
        <v>43</v>
      </c>
      <c r="D11" s="3">
        <v>41548</v>
      </c>
      <c r="E11" s="2" t="str">
        <f t="shared" si="0"/>
        <v>Pre-Covid</v>
      </c>
      <c r="F11" s="9">
        <v>117.1</v>
      </c>
      <c r="G11" s="9">
        <v>116.3</v>
      </c>
      <c r="H11" s="9">
        <v>113.3</v>
      </c>
      <c r="I11" s="9">
        <v>111.2</v>
      </c>
      <c r="J11" s="9">
        <v>105.7</v>
      </c>
      <c r="K11" s="9">
        <v>109.9</v>
      </c>
      <c r="L11" s="9">
        <v>171.2</v>
      </c>
      <c r="M11" s="9">
        <v>107.3</v>
      </c>
      <c r="N11" s="9">
        <v>102.7</v>
      </c>
      <c r="O11" s="9">
        <v>108.7</v>
      </c>
      <c r="P11" s="9">
        <v>111.2</v>
      </c>
      <c r="Q11" s="9">
        <v>115.4</v>
      </c>
      <c r="R11" s="9">
        <v>120.2</v>
      </c>
      <c r="S11" s="9">
        <v>112.5</v>
      </c>
      <c r="T11" s="9">
        <v>113.2</v>
      </c>
      <c r="U11" s="9">
        <v>111.2</v>
      </c>
      <c r="V11" s="9">
        <v>112.8</v>
      </c>
      <c r="W11" s="9">
        <v>110.5</v>
      </c>
      <c r="X11" s="9">
        <v>110.9</v>
      </c>
      <c r="Y11" s="9">
        <v>110.3</v>
      </c>
      <c r="Z11" s="9">
        <v>108.6</v>
      </c>
      <c r="AA11" s="9">
        <v>109.5</v>
      </c>
      <c r="AB11" s="9">
        <v>108.1</v>
      </c>
      <c r="AC11" s="9">
        <v>110.8</v>
      </c>
      <c r="AD11" s="9">
        <v>107.4</v>
      </c>
      <c r="AE11" s="9">
        <v>109.2</v>
      </c>
      <c r="AF11" s="9">
        <v>114.8</v>
      </c>
    </row>
    <row r="12" spans="1:62" ht="14.4" x14ac:dyDescent="0.3">
      <c r="A12" s="2" t="s">
        <v>34</v>
      </c>
      <c r="B12" s="2">
        <v>2013</v>
      </c>
      <c r="C12" s="2" t="s">
        <v>44</v>
      </c>
      <c r="D12" s="3">
        <v>41579</v>
      </c>
      <c r="E12" s="2" t="str">
        <f t="shared" si="0"/>
        <v>Pre-Covid</v>
      </c>
      <c r="F12" s="9">
        <v>118.1</v>
      </c>
      <c r="G12" s="9">
        <v>115.4</v>
      </c>
      <c r="H12" s="9">
        <v>118.7</v>
      </c>
      <c r="I12" s="9">
        <v>112.5</v>
      </c>
      <c r="J12" s="9">
        <v>106.8</v>
      </c>
      <c r="K12" s="9">
        <v>113.5</v>
      </c>
      <c r="L12" s="9">
        <v>183.1</v>
      </c>
      <c r="M12" s="9">
        <v>108.2</v>
      </c>
      <c r="N12" s="9">
        <v>102.2</v>
      </c>
      <c r="O12" s="9">
        <v>109.4</v>
      </c>
      <c r="P12" s="9">
        <v>111.8</v>
      </c>
      <c r="Q12" s="9">
        <v>116.5</v>
      </c>
      <c r="R12" s="9">
        <v>122.6</v>
      </c>
      <c r="S12" s="9">
        <v>113.1</v>
      </c>
      <c r="T12" s="9">
        <v>114.2</v>
      </c>
      <c r="U12" s="9">
        <v>111.9</v>
      </c>
      <c r="V12" s="9">
        <v>113.8</v>
      </c>
      <c r="W12" s="9">
        <v>111.1</v>
      </c>
      <c r="X12" s="9">
        <v>111.6</v>
      </c>
      <c r="Y12" s="9">
        <v>111.1</v>
      </c>
      <c r="Z12" s="9">
        <v>109.3</v>
      </c>
      <c r="AA12" s="9">
        <v>109.5</v>
      </c>
      <c r="AB12" s="9">
        <v>108.6</v>
      </c>
      <c r="AC12" s="9">
        <v>111.2</v>
      </c>
      <c r="AD12" s="9">
        <v>108.1</v>
      </c>
      <c r="AE12" s="9">
        <v>109.7</v>
      </c>
      <c r="AF12" s="9">
        <v>116.3</v>
      </c>
    </row>
    <row r="13" spans="1:62" ht="14.4" x14ac:dyDescent="0.3">
      <c r="A13" s="2" t="s">
        <v>34</v>
      </c>
      <c r="B13" s="2">
        <v>2013</v>
      </c>
      <c r="C13" s="2" t="s">
        <v>45</v>
      </c>
      <c r="D13" s="3">
        <v>41609</v>
      </c>
      <c r="E13" s="2" t="str">
        <f t="shared" si="0"/>
        <v>Pre-Covid</v>
      </c>
      <c r="F13" s="9">
        <v>119.1</v>
      </c>
      <c r="G13" s="9">
        <v>116.7</v>
      </c>
      <c r="H13" s="9">
        <v>123.5</v>
      </c>
      <c r="I13" s="9">
        <v>113.4</v>
      </c>
      <c r="J13" s="9">
        <v>107.3</v>
      </c>
      <c r="K13" s="9">
        <v>113.3</v>
      </c>
      <c r="L13" s="9">
        <v>145.4</v>
      </c>
      <c r="M13" s="9">
        <v>108.7</v>
      </c>
      <c r="N13" s="9">
        <v>101.5</v>
      </c>
      <c r="O13" s="9">
        <v>110.5</v>
      </c>
      <c r="P13" s="9">
        <v>112.1</v>
      </c>
      <c r="Q13" s="9">
        <v>117.4</v>
      </c>
      <c r="R13" s="9">
        <v>118.4</v>
      </c>
      <c r="S13" s="9">
        <v>114</v>
      </c>
      <c r="T13" s="9">
        <v>115.2</v>
      </c>
      <c r="U13" s="9">
        <v>112.7</v>
      </c>
      <c r="V13" s="9">
        <v>114.8</v>
      </c>
      <c r="W13" s="9">
        <v>110.7</v>
      </c>
      <c r="X13" s="9">
        <v>111.9</v>
      </c>
      <c r="Y13" s="9">
        <v>111.7</v>
      </c>
      <c r="Z13" s="9">
        <v>109.7</v>
      </c>
      <c r="AA13" s="9">
        <v>109.8</v>
      </c>
      <c r="AB13" s="9">
        <v>109</v>
      </c>
      <c r="AC13" s="9">
        <v>111.5</v>
      </c>
      <c r="AD13" s="9">
        <v>107.9</v>
      </c>
      <c r="AE13" s="9">
        <v>110</v>
      </c>
      <c r="AF13" s="9">
        <v>114.5</v>
      </c>
    </row>
    <row r="14" spans="1:62" ht="14.4" x14ac:dyDescent="0.3">
      <c r="A14" s="2" t="s">
        <v>34</v>
      </c>
      <c r="B14" s="2">
        <v>2014</v>
      </c>
      <c r="C14" s="2" t="s">
        <v>31</v>
      </c>
      <c r="D14" s="3">
        <v>41640</v>
      </c>
      <c r="E14" s="2" t="str">
        <f t="shared" si="0"/>
        <v>Pre-Covid</v>
      </c>
      <c r="F14" s="9">
        <v>119.6</v>
      </c>
      <c r="G14" s="9">
        <v>118.8</v>
      </c>
      <c r="H14" s="9">
        <v>124.1</v>
      </c>
      <c r="I14" s="9">
        <v>114.1</v>
      </c>
      <c r="J14" s="9">
        <v>106.8</v>
      </c>
      <c r="K14" s="9">
        <v>113.9</v>
      </c>
      <c r="L14" s="9">
        <v>122.2</v>
      </c>
      <c r="M14" s="9">
        <v>108.9</v>
      </c>
      <c r="N14" s="9">
        <v>100.2</v>
      </c>
      <c r="O14" s="9">
        <v>111</v>
      </c>
      <c r="P14" s="9">
        <v>112.3</v>
      </c>
      <c r="Q14" s="9">
        <v>118.1</v>
      </c>
      <c r="R14" s="9">
        <v>115.8</v>
      </c>
      <c r="S14" s="9">
        <v>114.5</v>
      </c>
      <c r="T14" s="9">
        <v>115.8</v>
      </c>
      <c r="U14" s="9">
        <v>113.2</v>
      </c>
      <c r="V14" s="9">
        <v>115.4</v>
      </c>
      <c r="W14" s="9">
        <v>111.6</v>
      </c>
      <c r="X14" s="9">
        <v>112.2</v>
      </c>
      <c r="Y14" s="9">
        <v>112.3</v>
      </c>
      <c r="Z14" s="9">
        <v>110.3</v>
      </c>
      <c r="AA14" s="9">
        <v>110.7</v>
      </c>
      <c r="AB14" s="9">
        <v>109.7</v>
      </c>
      <c r="AC14" s="9">
        <v>111.6</v>
      </c>
      <c r="AD14" s="9">
        <v>108.2</v>
      </c>
      <c r="AE14" s="9">
        <v>110.6</v>
      </c>
      <c r="AF14" s="9">
        <v>113.6</v>
      </c>
    </row>
    <row r="15" spans="1:62" ht="14.4" x14ac:dyDescent="0.3">
      <c r="A15" s="2" t="s">
        <v>34</v>
      </c>
      <c r="B15" s="2">
        <v>2014</v>
      </c>
      <c r="C15" s="2" t="s">
        <v>35</v>
      </c>
      <c r="D15" s="3">
        <v>41671</v>
      </c>
      <c r="E15" s="2" t="str">
        <f t="shared" si="0"/>
        <v>Pre-Covid</v>
      </c>
      <c r="F15" s="9">
        <v>120.2</v>
      </c>
      <c r="G15" s="9">
        <v>119.2</v>
      </c>
      <c r="H15" s="9">
        <v>122.5</v>
      </c>
      <c r="I15" s="9">
        <v>115.1</v>
      </c>
      <c r="J15" s="9">
        <v>106.6</v>
      </c>
      <c r="K15" s="9">
        <v>115.4</v>
      </c>
      <c r="L15" s="9">
        <v>114.5</v>
      </c>
      <c r="M15" s="9">
        <v>109.3</v>
      </c>
      <c r="N15" s="9">
        <v>99.2</v>
      </c>
      <c r="O15" s="9">
        <v>111.4</v>
      </c>
      <c r="P15" s="9">
        <v>112.6</v>
      </c>
      <c r="Q15" s="9">
        <v>118.8</v>
      </c>
      <c r="R15" s="9">
        <v>115.3</v>
      </c>
      <c r="S15" s="9">
        <v>114.7</v>
      </c>
      <c r="T15" s="9">
        <v>116.4</v>
      </c>
      <c r="U15" s="9">
        <v>113.3</v>
      </c>
      <c r="V15" s="9">
        <v>115.9</v>
      </c>
      <c r="W15" s="9">
        <v>112.5</v>
      </c>
      <c r="X15" s="9">
        <v>112.4</v>
      </c>
      <c r="Y15" s="9">
        <v>112.8</v>
      </c>
      <c r="Z15" s="9">
        <v>110.7</v>
      </c>
      <c r="AA15" s="9">
        <v>111.1</v>
      </c>
      <c r="AB15" s="9">
        <v>110.1</v>
      </c>
      <c r="AC15" s="9">
        <v>111.8</v>
      </c>
      <c r="AD15" s="9">
        <v>108.7</v>
      </c>
      <c r="AE15" s="9">
        <v>110.9</v>
      </c>
      <c r="AF15" s="9">
        <v>113.6</v>
      </c>
    </row>
    <row r="16" spans="1:62" ht="14.4" x14ac:dyDescent="0.3">
      <c r="A16" s="2" t="s">
        <v>34</v>
      </c>
      <c r="B16" s="2">
        <v>2014</v>
      </c>
      <c r="C16" s="2" t="s">
        <v>46</v>
      </c>
      <c r="D16" s="3">
        <v>41699</v>
      </c>
      <c r="E16" s="2" t="str">
        <f t="shared" si="0"/>
        <v>Pre-Covid</v>
      </c>
      <c r="F16" s="9">
        <v>120.7</v>
      </c>
      <c r="G16" s="9">
        <v>119.3</v>
      </c>
      <c r="H16" s="9">
        <v>121</v>
      </c>
      <c r="I16" s="9">
        <v>116.1</v>
      </c>
      <c r="J16" s="9">
        <v>106.9</v>
      </c>
      <c r="K16" s="9">
        <v>118.7</v>
      </c>
      <c r="L16" s="9">
        <v>116.3</v>
      </c>
      <c r="M16" s="9">
        <v>109.8</v>
      </c>
      <c r="N16" s="9">
        <v>99.6</v>
      </c>
      <c r="O16" s="9">
        <v>111.8</v>
      </c>
      <c r="P16" s="9">
        <v>112.7</v>
      </c>
      <c r="Q16" s="9">
        <v>119.3</v>
      </c>
      <c r="R16" s="9">
        <v>116.1</v>
      </c>
      <c r="S16" s="9">
        <v>115.2</v>
      </c>
      <c r="T16" s="9">
        <v>116.8</v>
      </c>
      <c r="U16" s="9">
        <v>113.7</v>
      </c>
      <c r="V16" s="9">
        <v>116.4</v>
      </c>
      <c r="W16" s="9">
        <v>113.2</v>
      </c>
      <c r="X16" s="9">
        <v>112.5</v>
      </c>
      <c r="Y16" s="9">
        <v>113.2</v>
      </c>
      <c r="Z16" s="9">
        <v>111.2</v>
      </c>
      <c r="AA16" s="9">
        <v>111.4</v>
      </c>
      <c r="AB16" s="9">
        <v>110.6</v>
      </c>
      <c r="AC16" s="9">
        <v>112</v>
      </c>
      <c r="AD16" s="9">
        <v>109</v>
      </c>
      <c r="AE16" s="9">
        <v>111.3</v>
      </c>
      <c r="AF16" s="9">
        <v>114.2</v>
      </c>
    </row>
    <row r="17" spans="1:32" ht="14.4" x14ac:dyDescent="0.3">
      <c r="A17" s="2" t="s">
        <v>34</v>
      </c>
      <c r="B17" s="2">
        <v>2014</v>
      </c>
      <c r="C17" s="2" t="s">
        <v>37</v>
      </c>
      <c r="D17" s="3">
        <v>41730</v>
      </c>
      <c r="E17" s="2" t="str">
        <f t="shared" si="0"/>
        <v>Pre-Covid</v>
      </c>
      <c r="F17" s="9">
        <v>120.9</v>
      </c>
      <c r="G17" s="9">
        <v>119.9</v>
      </c>
      <c r="H17" s="9">
        <v>116.2</v>
      </c>
      <c r="I17" s="9">
        <v>117</v>
      </c>
      <c r="J17" s="9">
        <v>107.3</v>
      </c>
      <c r="K17" s="9">
        <v>126.1</v>
      </c>
      <c r="L17" s="9">
        <v>120.7</v>
      </c>
      <c r="M17" s="9">
        <v>111</v>
      </c>
      <c r="N17" s="9">
        <v>101.8</v>
      </c>
      <c r="O17" s="9">
        <v>112.6</v>
      </c>
      <c r="P17" s="9">
        <v>113.2</v>
      </c>
      <c r="Q17" s="9">
        <v>119.8</v>
      </c>
      <c r="R17" s="9">
        <v>117.6</v>
      </c>
      <c r="S17" s="9">
        <v>116</v>
      </c>
      <c r="T17" s="9">
        <v>117.4</v>
      </c>
      <c r="U17" s="9">
        <v>114.6</v>
      </c>
      <c r="V17" s="9">
        <v>117</v>
      </c>
      <c r="W17" s="9">
        <v>113.9</v>
      </c>
      <c r="X17" s="9">
        <v>112.5</v>
      </c>
      <c r="Y17" s="9">
        <v>113.6</v>
      </c>
      <c r="Z17" s="9">
        <v>111.5</v>
      </c>
      <c r="AA17" s="9">
        <v>111.2</v>
      </c>
      <c r="AB17" s="9">
        <v>110.9</v>
      </c>
      <c r="AC17" s="9">
        <v>112.7</v>
      </c>
      <c r="AD17" s="9">
        <v>109</v>
      </c>
      <c r="AE17" s="9">
        <v>111.5</v>
      </c>
      <c r="AF17" s="9">
        <v>115.1</v>
      </c>
    </row>
    <row r="18" spans="1:32" ht="14.4" x14ac:dyDescent="0.3">
      <c r="A18" s="2" t="s">
        <v>34</v>
      </c>
      <c r="B18" s="2">
        <v>2014</v>
      </c>
      <c r="C18" s="2" t="s">
        <v>38</v>
      </c>
      <c r="D18" s="3">
        <v>41760</v>
      </c>
      <c r="E18" s="2" t="str">
        <f t="shared" si="0"/>
        <v>Pre-Covid</v>
      </c>
      <c r="F18" s="9">
        <v>121.1</v>
      </c>
      <c r="G18" s="9">
        <v>121.6</v>
      </c>
      <c r="H18" s="9">
        <v>115.9</v>
      </c>
      <c r="I18" s="9">
        <v>118.4</v>
      </c>
      <c r="J18" s="9">
        <v>107.7</v>
      </c>
      <c r="K18" s="9">
        <v>127.7</v>
      </c>
      <c r="L18" s="9">
        <v>125</v>
      </c>
      <c r="M18" s="9">
        <v>111.9</v>
      </c>
      <c r="N18" s="9">
        <v>102.8</v>
      </c>
      <c r="O18" s="9">
        <v>113.4</v>
      </c>
      <c r="P18" s="9">
        <v>113.7</v>
      </c>
      <c r="Q18" s="9">
        <v>120.4</v>
      </c>
      <c r="R18" s="9">
        <v>118.9</v>
      </c>
      <c r="S18" s="9">
        <v>116.8</v>
      </c>
      <c r="T18" s="9">
        <v>118</v>
      </c>
      <c r="U18" s="9">
        <v>115.2</v>
      </c>
      <c r="V18" s="9">
        <v>117.6</v>
      </c>
      <c r="W18" s="9">
        <v>114.3</v>
      </c>
      <c r="X18" s="9">
        <v>112.5</v>
      </c>
      <c r="Y18" s="9">
        <v>114.1</v>
      </c>
      <c r="Z18" s="9">
        <v>111.8</v>
      </c>
      <c r="AA18" s="9">
        <v>111.3</v>
      </c>
      <c r="AB18" s="9">
        <v>111.2</v>
      </c>
      <c r="AC18" s="9">
        <v>113</v>
      </c>
      <c r="AD18" s="9">
        <v>109.1</v>
      </c>
      <c r="AE18" s="9">
        <v>111.8</v>
      </c>
      <c r="AF18" s="9">
        <v>115.8</v>
      </c>
    </row>
    <row r="19" spans="1:32" ht="14.4" x14ac:dyDescent="0.3">
      <c r="A19" s="2" t="s">
        <v>34</v>
      </c>
      <c r="B19" s="2">
        <v>2014</v>
      </c>
      <c r="C19" s="2" t="s">
        <v>39</v>
      </c>
      <c r="D19" s="3">
        <v>41791</v>
      </c>
      <c r="E19" s="2" t="str">
        <f t="shared" si="0"/>
        <v>Pre-Covid</v>
      </c>
      <c r="F19" s="9">
        <v>121.5</v>
      </c>
      <c r="G19" s="9">
        <v>123.1</v>
      </c>
      <c r="H19" s="9">
        <v>115.8</v>
      </c>
      <c r="I19" s="9">
        <v>119.7</v>
      </c>
      <c r="J19" s="9">
        <v>107.8</v>
      </c>
      <c r="K19" s="9">
        <v>128.30000000000001</v>
      </c>
      <c r="L19" s="9">
        <v>132.1</v>
      </c>
      <c r="M19" s="9">
        <v>112.4</v>
      </c>
      <c r="N19" s="9">
        <v>102.9</v>
      </c>
      <c r="O19" s="9">
        <v>114.3</v>
      </c>
      <c r="P19" s="9">
        <v>114.2</v>
      </c>
      <c r="Q19" s="9">
        <v>121.2</v>
      </c>
      <c r="R19" s="9">
        <v>120.4</v>
      </c>
      <c r="S19" s="9">
        <v>117.8</v>
      </c>
      <c r="T19" s="9">
        <v>118.8</v>
      </c>
      <c r="U19" s="9">
        <v>115.6</v>
      </c>
      <c r="V19" s="9">
        <v>118.3</v>
      </c>
      <c r="W19" s="9">
        <v>113.9</v>
      </c>
      <c r="X19" s="9">
        <v>113.2</v>
      </c>
      <c r="Y19" s="9">
        <v>114.6</v>
      </c>
      <c r="Z19" s="9">
        <v>112.3</v>
      </c>
      <c r="AA19" s="9">
        <v>111.8</v>
      </c>
      <c r="AB19" s="9">
        <v>111.6</v>
      </c>
      <c r="AC19" s="9">
        <v>114.8</v>
      </c>
      <c r="AD19" s="9">
        <v>108.3</v>
      </c>
      <c r="AE19" s="9">
        <v>112.3</v>
      </c>
      <c r="AF19" s="9">
        <v>116.7</v>
      </c>
    </row>
    <row r="20" spans="1:32" ht="14.4" x14ac:dyDescent="0.3">
      <c r="A20" s="2" t="s">
        <v>34</v>
      </c>
      <c r="B20" s="2">
        <v>2014</v>
      </c>
      <c r="C20" s="2" t="s">
        <v>40</v>
      </c>
      <c r="D20" s="3">
        <v>41821</v>
      </c>
      <c r="E20" s="2" t="str">
        <f t="shared" si="0"/>
        <v>Pre-Covid</v>
      </c>
      <c r="F20" s="9">
        <v>122.4</v>
      </c>
      <c r="G20" s="9">
        <v>123.9</v>
      </c>
      <c r="H20" s="9">
        <v>117.8</v>
      </c>
      <c r="I20" s="9">
        <v>121</v>
      </c>
      <c r="J20" s="9">
        <v>107.9</v>
      </c>
      <c r="K20" s="9">
        <v>131.19999999999999</v>
      </c>
      <c r="L20" s="9">
        <v>157.69999999999999</v>
      </c>
      <c r="M20" s="9">
        <v>113.2</v>
      </c>
      <c r="N20" s="9">
        <v>104.1</v>
      </c>
      <c r="O20" s="9">
        <v>115.5</v>
      </c>
      <c r="P20" s="9">
        <v>114.8</v>
      </c>
      <c r="Q20" s="9">
        <v>122.1</v>
      </c>
      <c r="R20" s="9">
        <v>124.7</v>
      </c>
      <c r="S20" s="9">
        <v>118.8</v>
      </c>
      <c r="T20" s="9">
        <v>119.6</v>
      </c>
      <c r="U20" s="9">
        <v>116.3</v>
      </c>
      <c r="V20" s="9">
        <v>119.1</v>
      </c>
      <c r="W20" s="9">
        <v>114.8</v>
      </c>
      <c r="X20" s="9">
        <v>113.9</v>
      </c>
      <c r="Y20" s="9">
        <v>115.2</v>
      </c>
      <c r="Z20" s="9">
        <v>112.7</v>
      </c>
      <c r="AA20" s="9">
        <v>113.1</v>
      </c>
      <c r="AB20" s="9">
        <v>112.1</v>
      </c>
      <c r="AC20" s="9">
        <v>116.8</v>
      </c>
      <c r="AD20" s="9">
        <v>109.2</v>
      </c>
      <c r="AE20" s="9">
        <v>113.3</v>
      </c>
      <c r="AF20" s="9">
        <v>119.2</v>
      </c>
    </row>
    <row r="21" spans="1:32" ht="14.4" x14ac:dyDescent="0.3">
      <c r="A21" s="2" t="s">
        <v>34</v>
      </c>
      <c r="B21" s="2">
        <v>2014</v>
      </c>
      <c r="C21" s="2" t="s">
        <v>41</v>
      </c>
      <c r="D21" s="3">
        <v>41852</v>
      </c>
      <c r="E21" s="2" t="str">
        <f t="shared" si="0"/>
        <v>Pre-Covid</v>
      </c>
      <c r="F21" s="9">
        <v>122.7</v>
      </c>
      <c r="G21" s="9">
        <v>124.4</v>
      </c>
      <c r="H21" s="9">
        <v>117.3</v>
      </c>
      <c r="I21" s="9">
        <v>122</v>
      </c>
      <c r="J21" s="9">
        <v>108</v>
      </c>
      <c r="K21" s="9">
        <v>131.1</v>
      </c>
      <c r="L21" s="9">
        <v>168.2</v>
      </c>
      <c r="M21" s="9">
        <v>114.5</v>
      </c>
      <c r="N21" s="9">
        <v>104.3</v>
      </c>
      <c r="O21" s="9">
        <v>117.1</v>
      </c>
      <c r="P21" s="9">
        <v>115.2</v>
      </c>
      <c r="Q21" s="9">
        <v>123.1</v>
      </c>
      <c r="R21" s="9">
        <v>126.6</v>
      </c>
      <c r="S21" s="9">
        <v>119.9</v>
      </c>
      <c r="T21" s="9">
        <v>120</v>
      </c>
      <c r="U21" s="9">
        <v>116.8</v>
      </c>
      <c r="V21" s="9">
        <v>119.6</v>
      </c>
      <c r="W21" s="9">
        <v>115.5</v>
      </c>
      <c r="X21" s="9">
        <v>114</v>
      </c>
      <c r="Y21" s="9">
        <v>115.6</v>
      </c>
      <c r="Z21" s="9">
        <v>113.3</v>
      </c>
      <c r="AA21" s="9">
        <v>112.8</v>
      </c>
      <c r="AB21" s="9">
        <v>112.6</v>
      </c>
      <c r="AC21" s="9">
        <v>118</v>
      </c>
      <c r="AD21" s="9">
        <v>109.9</v>
      </c>
      <c r="AE21" s="9">
        <v>113.7</v>
      </c>
      <c r="AF21" s="9">
        <v>120.3</v>
      </c>
    </row>
    <row r="22" spans="1:32" ht="14.4" x14ac:dyDescent="0.3">
      <c r="A22" s="2" t="s">
        <v>34</v>
      </c>
      <c r="B22" s="2">
        <v>2014</v>
      </c>
      <c r="C22" s="2" t="s">
        <v>42</v>
      </c>
      <c r="D22" s="3">
        <v>41883</v>
      </c>
      <c r="E22" s="2" t="str">
        <f t="shared" si="0"/>
        <v>Pre-Covid</v>
      </c>
      <c r="F22" s="9">
        <v>122.9</v>
      </c>
      <c r="G22" s="9">
        <v>123.5</v>
      </c>
      <c r="H22" s="9">
        <v>117.3</v>
      </c>
      <c r="I22" s="9">
        <v>122.7</v>
      </c>
      <c r="J22" s="9">
        <v>107.9</v>
      </c>
      <c r="K22" s="9">
        <v>127.3</v>
      </c>
      <c r="L22" s="9">
        <v>162.1</v>
      </c>
      <c r="M22" s="9">
        <v>115.6</v>
      </c>
      <c r="N22" s="9">
        <v>103.8</v>
      </c>
      <c r="O22" s="9">
        <v>117.6</v>
      </c>
      <c r="P22" s="9">
        <v>115.8</v>
      </c>
      <c r="Q22" s="9">
        <v>123.8</v>
      </c>
      <c r="R22" s="9">
        <v>125.8</v>
      </c>
      <c r="S22" s="9">
        <v>120.8</v>
      </c>
      <c r="T22" s="9">
        <v>120.7</v>
      </c>
      <c r="U22" s="9">
        <v>117.2</v>
      </c>
      <c r="V22" s="9">
        <v>120.1</v>
      </c>
      <c r="W22" s="9">
        <v>116.1</v>
      </c>
      <c r="X22" s="9">
        <v>114.3</v>
      </c>
      <c r="Y22" s="9">
        <v>116.1</v>
      </c>
      <c r="Z22" s="9">
        <v>113.7</v>
      </c>
      <c r="AA22" s="9">
        <v>112</v>
      </c>
      <c r="AB22" s="9">
        <v>113.1</v>
      </c>
      <c r="AC22" s="9">
        <v>118.6</v>
      </c>
      <c r="AD22" s="9">
        <v>109.5</v>
      </c>
      <c r="AE22" s="9">
        <v>113.7</v>
      </c>
      <c r="AF22" s="9">
        <v>120.1</v>
      </c>
    </row>
    <row r="23" spans="1:32" ht="14.4" x14ac:dyDescent="0.3">
      <c r="A23" s="2" t="s">
        <v>34</v>
      </c>
      <c r="B23" s="2">
        <v>2014</v>
      </c>
      <c r="C23" s="2" t="s">
        <v>43</v>
      </c>
      <c r="D23" s="3">
        <v>41913</v>
      </c>
      <c r="E23" s="2" t="str">
        <f t="shared" si="0"/>
        <v>Pre-Covid</v>
      </c>
      <c r="F23" s="9">
        <v>123.2</v>
      </c>
      <c r="G23" s="9">
        <v>123.8</v>
      </c>
      <c r="H23" s="9">
        <v>118.1</v>
      </c>
      <c r="I23" s="9">
        <v>123.2</v>
      </c>
      <c r="J23" s="9">
        <v>107.9</v>
      </c>
      <c r="K23" s="9">
        <v>126.4</v>
      </c>
      <c r="L23" s="9">
        <v>156.80000000000001</v>
      </c>
      <c r="M23" s="9">
        <v>116.1</v>
      </c>
      <c r="N23" s="9">
        <v>103.1</v>
      </c>
      <c r="O23" s="9">
        <v>118.1</v>
      </c>
      <c r="P23" s="9">
        <v>116.1</v>
      </c>
      <c r="Q23" s="9">
        <v>124.5</v>
      </c>
      <c r="R23" s="9">
        <v>125.4</v>
      </c>
      <c r="S23" s="9">
        <v>121.1</v>
      </c>
      <c r="T23" s="9">
        <v>121.5</v>
      </c>
      <c r="U23" s="9">
        <v>118.1</v>
      </c>
      <c r="V23" s="9">
        <v>121</v>
      </c>
      <c r="W23" s="9">
        <v>116.7</v>
      </c>
      <c r="X23" s="9">
        <v>114.7</v>
      </c>
      <c r="Y23" s="9">
        <v>116.7</v>
      </c>
      <c r="Z23" s="9">
        <v>114.3</v>
      </c>
      <c r="AA23" s="9">
        <v>111.8</v>
      </c>
      <c r="AB23" s="9">
        <v>113.3</v>
      </c>
      <c r="AC23" s="9">
        <v>118.8</v>
      </c>
      <c r="AD23" s="9">
        <v>109.6</v>
      </c>
      <c r="AE23" s="9">
        <v>113.9</v>
      </c>
      <c r="AF23" s="9">
        <v>120.1</v>
      </c>
    </row>
    <row r="24" spans="1:32" ht="14.4" x14ac:dyDescent="0.3">
      <c r="A24" s="2" t="s">
        <v>34</v>
      </c>
      <c r="B24" s="2">
        <v>2014</v>
      </c>
      <c r="C24" s="2" t="s">
        <v>44</v>
      </c>
      <c r="D24" s="3">
        <v>41944</v>
      </c>
      <c r="E24" s="2" t="str">
        <f t="shared" si="0"/>
        <v>Pre-Covid</v>
      </c>
      <c r="F24" s="9">
        <v>123.3</v>
      </c>
      <c r="G24" s="9">
        <v>123.7</v>
      </c>
      <c r="H24" s="9">
        <v>121</v>
      </c>
      <c r="I24" s="9">
        <v>124.2</v>
      </c>
      <c r="J24" s="9">
        <v>107.8</v>
      </c>
      <c r="K24" s="9">
        <v>125.7</v>
      </c>
      <c r="L24" s="9">
        <v>152.4</v>
      </c>
      <c r="M24" s="9">
        <v>117.2</v>
      </c>
      <c r="N24" s="9">
        <v>102.1</v>
      </c>
      <c r="O24" s="9">
        <v>118.7</v>
      </c>
      <c r="P24" s="9">
        <v>116.4</v>
      </c>
      <c r="Q24" s="9">
        <v>125.6</v>
      </c>
      <c r="R24" s="9">
        <v>125.1</v>
      </c>
      <c r="S24" s="9">
        <v>122.1</v>
      </c>
      <c r="T24" s="9">
        <v>122.1</v>
      </c>
      <c r="U24" s="9">
        <v>118.4</v>
      </c>
      <c r="V24" s="9">
        <v>121.6</v>
      </c>
      <c r="W24" s="9">
        <v>117.1</v>
      </c>
      <c r="X24" s="9">
        <v>115.5</v>
      </c>
      <c r="Y24" s="9">
        <v>117.3</v>
      </c>
      <c r="Z24" s="9">
        <v>114.8</v>
      </c>
      <c r="AA24" s="9">
        <v>110.8</v>
      </c>
      <c r="AB24" s="9">
        <v>113.7</v>
      </c>
      <c r="AC24" s="9">
        <v>119</v>
      </c>
      <c r="AD24" s="9">
        <v>109.1</v>
      </c>
      <c r="AE24" s="9">
        <v>113.8</v>
      </c>
      <c r="AF24" s="9">
        <v>120.1</v>
      </c>
    </row>
    <row r="25" spans="1:32" ht="14.4" x14ac:dyDescent="0.3">
      <c r="A25" s="2" t="s">
        <v>34</v>
      </c>
      <c r="B25" s="2">
        <v>2014</v>
      </c>
      <c r="C25" s="2" t="s">
        <v>45</v>
      </c>
      <c r="D25" s="3">
        <v>41974</v>
      </c>
      <c r="E25" s="2" t="str">
        <f t="shared" si="0"/>
        <v>Pre-Covid</v>
      </c>
      <c r="F25" s="9">
        <v>122.9</v>
      </c>
      <c r="G25" s="9">
        <v>123.2</v>
      </c>
      <c r="H25" s="9">
        <v>123.5</v>
      </c>
      <c r="I25" s="9">
        <v>124.5</v>
      </c>
      <c r="J25" s="9">
        <v>107.6</v>
      </c>
      <c r="K25" s="9">
        <v>125.7</v>
      </c>
      <c r="L25" s="9">
        <v>140.5</v>
      </c>
      <c r="M25" s="9">
        <v>117.6</v>
      </c>
      <c r="N25" s="9">
        <v>100.6</v>
      </c>
      <c r="O25" s="9">
        <v>119.1</v>
      </c>
      <c r="P25" s="9">
        <v>116.8</v>
      </c>
      <c r="Q25" s="9">
        <v>126.1</v>
      </c>
      <c r="R25" s="9">
        <v>123.6</v>
      </c>
      <c r="S25" s="9">
        <v>123</v>
      </c>
      <c r="T25" s="9">
        <v>122.6</v>
      </c>
      <c r="U25" s="9">
        <v>118.6</v>
      </c>
      <c r="V25" s="9">
        <v>122</v>
      </c>
      <c r="W25" s="9">
        <v>116.5</v>
      </c>
      <c r="X25" s="9">
        <v>115.7</v>
      </c>
      <c r="Y25" s="9">
        <v>117.5</v>
      </c>
      <c r="Z25" s="9">
        <v>115.1</v>
      </c>
      <c r="AA25" s="9">
        <v>110.1</v>
      </c>
      <c r="AB25" s="9">
        <v>113.9</v>
      </c>
      <c r="AC25" s="9">
        <v>119.5</v>
      </c>
      <c r="AD25" s="9">
        <v>109.8</v>
      </c>
      <c r="AE25" s="9">
        <v>113.8</v>
      </c>
      <c r="AF25" s="9">
        <v>119.4</v>
      </c>
    </row>
    <row r="26" spans="1:32" ht="14.4" x14ac:dyDescent="0.3">
      <c r="A26" s="2" t="s">
        <v>34</v>
      </c>
      <c r="B26" s="2">
        <v>2015</v>
      </c>
      <c r="C26" s="2" t="s">
        <v>31</v>
      </c>
      <c r="D26" s="3">
        <v>42005</v>
      </c>
      <c r="E26" s="2" t="str">
        <f t="shared" si="0"/>
        <v>Pre-Covid</v>
      </c>
      <c r="F26" s="9">
        <v>123.4</v>
      </c>
      <c r="G26" s="9">
        <v>123.9</v>
      </c>
      <c r="H26" s="9">
        <v>123.8</v>
      </c>
      <c r="I26" s="9">
        <v>125</v>
      </c>
      <c r="J26" s="9">
        <v>108.5</v>
      </c>
      <c r="K26" s="9">
        <v>126.2</v>
      </c>
      <c r="L26" s="9">
        <v>133</v>
      </c>
      <c r="M26" s="9">
        <v>119.1</v>
      </c>
      <c r="N26" s="9">
        <v>99</v>
      </c>
      <c r="O26" s="9">
        <v>120.3</v>
      </c>
      <c r="P26" s="9">
        <v>117.3</v>
      </c>
      <c r="Q26" s="9">
        <v>126.7</v>
      </c>
      <c r="R26" s="9">
        <v>123.1</v>
      </c>
      <c r="S26" s="9">
        <v>124</v>
      </c>
      <c r="T26" s="9">
        <v>123.1</v>
      </c>
      <c r="U26" s="9">
        <v>119.3</v>
      </c>
      <c r="V26" s="9">
        <v>122.5</v>
      </c>
      <c r="W26" s="9">
        <v>117.3</v>
      </c>
      <c r="X26" s="9">
        <v>116.5</v>
      </c>
      <c r="Y26" s="9">
        <v>118.1</v>
      </c>
      <c r="Z26" s="9">
        <v>115.5</v>
      </c>
      <c r="AA26" s="9">
        <v>109.4</v>
      </c>
      <c r="AB26" s="9">
        <v>114.3</v>
      </c>
      <c r="AC26" s="9">
        <v>119.7</v>
      </c>
      <c r="AD26" s="9">
        <v>110.7</v>
      </c>
      <c r="AE26" s="9">
        <v>114</v>
      </c>
      <c r="AF26" s="9">
        <v>119.5</v>
      </c>
    </row>
    <row r="27" spans="1:32" ht="14.4" x14ac:dyDescent="0.3">
      <c r="A27" s="2" t="s">
        <v>34</v>
      </c>
      <c r="B27" s="2">
        <v>2015</v>
      </c>
      <c r="C27" s="2" t="s">
        <v>35</v>
      </c>
      <c r="D27" s="3">
        <v>42036</v>
      </c>
      <c r="E27" s="2" t="str">
        <f t="shared" si="0"/>
        <v>Pre-Covid</v>
      </c>
      <c r="F27" s="9">
        <v>123.7</v>
      </c>
      <c r="G27" s="9">
        <v>125.1</v>
      </c>
      <c r="H27" s="9">
        <v>121.1</v>
      </c>
      <c r="I27" s="9">
        <v>125.7</v>
      </c>
      <c r="J27" s="9">
        <v>109.1</v>
      </c>
      <c r="K27" s="9">
        <v>125.8</v>
      </c>
      <c r="L27" s="9">
        <v>129.4</v>
      </c>
      <c r="M27" s="9">
        <v>120.9</v>
      </c>
      <c r="N27" s="9">
        <v>98.3</v>
      </c>
      <c r="O27" s="9">
        <v>121.6</v>
      </c>
      <c r="P27" s="9">
        <v>118</v>
      </c>
      <c r="Q27" s="9">
        <v>127.6</v>
      </c>
      <c r="R27" s="9">
        <v>123.1</v>
      </c>
      <c r="S27" s="9">
        <v>125.2</v>
      </c>
      <c r="T27" s="9">
        <v>123.8</v>
      </c>
      <c r="U27" s="9">
        <v>120.1</v>
      </c>
      <c r="V27" s="9">
        <v>123.3</v>
      </c>
      <c r="W27" s="9">
        <v>118.1</v>
      </c>
      <c r="X27" s="9">
        <v>117.7</v>
      </c>
      <c r="Y27" s="9">
        <v>118.7</v>
      </c>
      <c r="Z27" s="9">
        <v>116.3</v>
      </c>
      <c r="AA27" s="9">
        <v>108.7</v>
      </c>
      <c r="AB27" s="9">
        <v>114.9</v>
      </c>
      <c r="AC27" s="9">
        <v>119.7</v>
      </c>
      <c r="AD27" s="9">
        <v>111.2</v>
      </c>
      <c r="AE27" s="9">
        <v>114.1</v>
      </c>
      <c r="AF27" s="9">
        <v>119.7</v>
      </c>
    </row>
    <row r="28" spans="1:32" ht="14.4" x14ac:dyDescent="0.3">
      <c r="A28" s="2" t="s">
        <v>34</v>
      </c>
      <c r="B28" s="2">
        <v>2015</v>
      </c>
      <c r="C28" s="2" t="s">
        <v>36</v>
      </c>
      <c r="D28" s="3">
        <v>42064</v>
      </c>
      <c r="E28" s="2" t="str">
        <f t="shared" si="0"/>
        <v>Pre-Covid</v>
      </c>
      <c r="F28" s="9">
        <v>123.5</v>
      </c>
      <c r="G28" s="9">
        <v>125.4</v>
      </c>
      <c r="H28" s="9">
        <v>116.8</v>
      </c>
      <c r="I28" s="9">
        <v>126</v>
      </c>
      <c r="J28" s="9">
        <v>109.2</v>
      </c>
      <c r="K28" s="9">
        <v>127.6</v>
      </c>
      <c r="L28" s="9">
        <v>129.19999999999999</v>
      </c>
      <c r="M28" s="9">
        <v>122.4</v>
      </c>
      <c r="N28" s="9">
        <v>97</v>
      </c>
      <c r="O28" s="9">
        <v>122.1</v>
      </c>
      <c r="P28" s="9">
        <v>118.1</v>
      </c>
      <c r="Q28" s="9">
        <v>128.4</v>
      </c>
      <c r="R28" s="9">
        <v>123.4</v>
      </c>
      <c r="S28" s="9">
        <v>125.8</v>
      </c>
      <c r="T28" s="9">
        <v>124.3</v>
      </c>
      <c r="U28" s="9">
        <v>120.4</v>
      </c>
      <c r="V28" s="9">
        <v>123.7</v>
      </c>
      <c r="W28" s="9">
        <v>118.6</v>
      </c>
      <c r="X28" s="9">
        <v>118.3</v>
      </c>
      <c r="Y28" s="9">
        <v>119.2</v>
      </c>
      <c r="Z28" s="9">
        <v>116.7</v>
      </c>
      <c r="AA28" s="9">
        <v>109.9</v>
      </c>
      <c r="AB28" s="9">
        <v>115.4</v>
      </c>
      <c r="AC28" s="9">
        <v>120.1</v>
      </c>
      <c r="AD28" s="9">
        <v>111</v>
      </c>
      <c r="AE28" s="9">
        <v>114.7</v>
      </c>
      <c r="AF28" s="9">
        <v>120.2</v>
      </c>
    </row>
    <row r="29" spans="1:32" ht="14.4" x14ac:dyDescent="0.3">
      <c r="A29" s="2" t="s">
        <v>34</v>
      </c>
      <c r="B29" s="2">
        <v>2015</v>
      </c>
      <c r="C29" s="2" t="s">
        <v>37</v>
      </c>
      <c r="D29" s="3">
        <v>42095</v>
      </c>
      <c r="E29" s="2" t="str">
        <f t="shared" si="0"/>
        <v>Pre-Covid</v>
      </c>
      <c r="F29" s="9">
        <v>123.5</v>
      </c>
      <c r="G29" s="9">
        <v>126.4</v>
      </c>
      <c r="H29" s="9">
        <v>114.4</v>
      </c>
      <c r="I29" s="9">
        <v>126.6</v>
      </c>
      <c r="J29" s="9">
        <v>109.2</v>
      </c>
      <c r="K29" s="9">
        <v>132.5</v>
      </c>
      <c r="L29" s="9">
        <v>128.6</v>
      </c>
      <c r="M29" s="9">
        <v>124.8</v>
      </c>
      <c r="N29" s="9">
        <v>95.7</v>
      </c>
      <c r="O29" s="9">
        <v>122.4</v>
      </c>
      <c r="P29" s="9">
        <v>118.5</v>
      </c>
      <c r="Q29" s="9">
        <v>129.1</v>
      </c>
      <c r="R29" s="9">
        <v>124</v>
      </c>
      <c r="S29" s="9">
        <v>126.9</v>
      </c>
      <c r="T29" s="9">
        <v>124.7</v>
      </c>
      <c r="U29" s="9">
        <v>120.8</v>
      </c>
      <c r="V29" s="9">
        <v>124.1</v>
      </c>
      <c r="W29" s="9">
        <v>119.2</v>
      </c>
      <c r="X29" s="9">
        <v>118.7</v>
      </c>
      <c r="Y29" s="9">
        <v>119.7</v>
      </c>
      <c r="Z29" s="9">
        <v>117.1</v>
      </c>
      <c r="AA29" s="9">
        <v>110.1</v>
      </c>
      <c r="AB29" s="9">
        <v>115.9</v>
      </c>
      <c r="AC29" s="9">
        <v>121</v>
      </c>
      <c r="AD29" s="9">
        <v>111.7</v>
      </c>
      <c r="AE29" s="9">
        <v>115.1</v>
      </c>
      <c r="AF29" s="9">
        <v>120.7</v>
      </c>
    </row>
    <row r="30" spans="1:32" ht="14.4" x14ac:dyDescent="0.3">
      <c r="A30" s="2" t="s">
        <v>34</v>
      </c>
      <c r="B30" s="2">
        <v>2015</v>
      </c>
      <c r="C30" s="2" t="s">
        <v>38</v>
      </c>
      <c r="D30" s="3">
        <v>42125</v>
      </c>
      <c r="E30" s="2" t="str">
        <f t="shared" si="0"/>
        <v>Pre-Covid</v>
      </c>
      <c r="F30" s="9">
        <v>123.6</v>
      </c>
      <c r="G30" s="9">
        <v>128</v>
      </c>
      <c r="H30" s="9">
        <v>115</v>
      </c>
      <c r="I30" s="9">
        <v>127.3</v>
      </c>
      <c r="J30" s="9">
        <v>109.8</v>
      </c>
      <c r="K30" s="9">
        <v>132.6</v>
      </c>
      <c r="L30" s="9">
        <v>130.9</v>
      </c>
      <c r="M30" s="9">
        <v>130.5</v>
      </c>
      <c r="N30" s="9">
        <v>95.3</v>
      </c>
      <c r="O30" s="9">
        <v>123.4</v>
      </c>
      <c r="P30" s="9">
        <v>119.2</v>
      </c>
      <c r="Q30" s="9">
        <v>129.80000000000001</v>
      </c>
      <c r="R30" s="9">
        <v>125</v>
      </c>
      <c r="S30" s="9">
        <v>127.9</v>
      </c>
      <c r="T30" s="9">
        <v>125.4</v>
      </c>
      <c r="U30" s="9">
        <v>121.3</v>
      </c>
      <c r="V30" s="9">
        <v>124.7</v>
      </c>
      <c r="W30" s="9">
        <v>119.6</v>
      </c>
      <c r="X30" s="9">
        <v>119.2</v>
      </c>
      <c r="Y30" s="9">
        <v>120.2</v>
      </c>
      <c r="Z30" s="9">
        <v>117.7</v>
      </c>
      <c r="AA30" s="9">
        <v>112</v>
      </c>
      <c r="AB30" s="9">
        <v>116.3</v>
      </c>
      <c r="AC30" s="9">
        <v>121.4</v>
      </c>
      <c r="AD30" s="9">
        <v>112.3</v>
      </c>
      <c r="AE30" s="9">
        <v>116.1</v>
      </c>
      <c r="AF30" s="9">
        <v>121.6</v>
      </c>
    </row>
    <row r="31" spans="1:32" ht="14.4" x14ac:dyDescent="0.3">
      <c r="A31" s="2" t="s">
        <v>34</v>
      </c>
      <c r="B31" s="2">
        <v>2015</v>
      </c>
      <c r="C31" s="2" t="s">
        <v>39</v>
      </c>
      <c r="D31" s="3">
        <v>42156</v>
      </c>
      <c r="E31" s="2" t="str">
        <f t="shared" si="0"/>
        <v>Pre-Covid</v>
      </c>
      <c r="F31" s="9">
        <v>123.9</v>
      </c>
      <c r="G31" s="9">
        <v>131.80000000000001</v>
      </c>
      <c r="H31" s="9">
        <v>121.6</v>
      </c>
      <c r="I31" s="9">
        <v>128.19999999999999</v>
      </c>
      <c r="J31" s="9">
        <v>111.1</v>
      </c>
      <c r="K31" s="9">
        <v>132.80000000000001</v>
      </c>
      <c r="L31" s="9">
        <v>139.1</v>
      </c>
      <c r="M31" s="9">
        <v>137.4</v>
      </c>
      <c r="N31" s="9">
        <v>94.1</v>
      </c>
      <c r="O31" s="9">
        <v>125.5</v>
      </c>
      <c r="P31" s="9">
        <v>119.8</v>
      </c>
      <c r="Q31" s="9">
        <v>130.9</v>
      </c>
      <c r="R31" s="9">
        <v>127.3</v>
      </c>
      <c r="S31" s="9">
        <v>129.19999999999999</v>
      </c>
      <c r="T31" s="9">
        <v>126.4</v>
      </c>
      <c r="U31" s="9">
        <v>122</v>
      </c>
      <c r="V31" s="9">
        <v>125.7</v>
      </c>
      <c r="W31" s="9">
        <v>119</v>
      </c>
      <c r="X31" s="9">
        <v>119.8</v>
      </c>
      <c r="Y31" s="9">
        <v>121.1</v>
      </c>
      <c r="Z31" s="9">
        <v>118.5</v>
      </c>
      <c r="AA31" s="9">
        <v>112.9</v>
      </c>
      <c r="AB31" s="9">
        <v>116.9</v>
      </c>
      <c r="AC31" s="9">
        <v>123.1</v>
      </c>
      <c r="AD31" s="9">
        <v>112.8</v>
      </c>
      <c r="AE31" s="9">
        <v>117</v>
      </c>
      <c r="AF31" s="9">
        <v>123</v>
      </c>
    </row>
    <row r="32" spans="1:32" ht="14.4" x14ac:dyDescent="0.3">
      <c r="A32" s="2" t="s">
        <v>34</v>
      </c>
      <c r="B32" s="2">
        <v>2015</v>
      </c>
      <c r="C32" s="2" t="s">
        <v>40</v>
      </c>
      <c r="D32" s="3">
        <v>42186</v>
      </c>
      <c r="E32" s="2" t="str">
        <f t="shared" si="0"/>
        <v>Pre-Covid</v>
      </c>
      <c r="F32" s="9">
        <v>123.7</v>
      </c>
      <c r="G32" s="9">
        <v>132.5</v>
      </c>
      <c r="H32" s="9">
        <v>121</v>
      </c>
      <c r="I32" s="9">
        <v>128.30000000000001</v>
      </c>
      <c r="J32" s="9">
        <v>110.9</v>
      </c>
      <c r="K32" s="9">
        <v>133.1</v>
      </c>
      <c r="L32" s="9">
        <v>145.1</v>
      </c>
      <c r="M32" s="9">
        <v>139.1</v>
      </c>
      <c r="N32" s="9">
        <v>91.3</v>
      </c>
      <c r="O32" s="9">
        <v>126.1</v>
      </c>
      <c r="P32" s="9">
        <v>119.9</v>
      </c>
      <c r="Q32" s="9">
        <v>131.4</v>
      </c>
      <c r="R32" s="9">
        <v>128.19999999999999</v>
      </c>
      <c r="S32" s="9">
        <v>130.4</v>
      </c>
      <c r="T32" s="9">
        <v>126.7</v>
      </c>
      <c r="U32" s="9">
        <v>122.3</v>
      </c>
      <c r="V32" s="9">
        <v>126.1</v>
      </c>
      <c r="W32" s="9">
        <v>119.9</v>
      </c>
      <c r="X32" s="9">
        <v>120.1</v>
      </c>
      <c r="Y32" s="9">
        <v>121.3</v>
      </c>
      <c r="Z32" s="9">
        <v>119</v>
      </c>
      <c r="AA32" s="9">
        <v>112.7</v>
      </c>
      <c r="AB32" s="9">
        <v>117.2</v>
      </c>
      <c r="AC32" s="9">
        <v>124.4</v>
      </c>
      <c r="AD32" s="9">
        <v>112.3</v>
      </c>
      <c r="AE32" s="9">
        <v>117.2</v>
      </c>
      <c r="AF32" s="9">
        <v>123.6</v>
      </c>
    </row>
    <row r="33" spans="1:32" ht="14.4" x14ac:dyDescent="0.3">
      <c r="A33" s="2" t="s">
        <v>34</v>
      </c>
      <c r="B33" s="2">
        <v>2015</v>
      </c>
      <c r="C33" s="2" t="s">
        <v>41</v>
      </c>
      <c r="D33" s="3">
        <v>42217</v>
      </c>
      <c r="E33" s="2" t="str">
        <f t="shared" si="0"/>
        <v>Pre-Covid</v>
      </c>
      <c r="F33" s="9">
        <v>124.2</v>
      </c>
      <c r="G33" s="9">
        <v>131.4</v>
      </c>
      <c r="H33" s="9">
        <v>120.1</v>
      </c>
      <c r="I33" s="9">
        <v>128.5</v>
      </c>
      <c r="J33" s="9">
        <v>111.4</v>
      </c>
      <c r="K33" s="9">
        <v>132.30000000000001</v>
      </c>
      <c r="L33" s="9">
        <v>157.6</v>
      </c>
      <c r="M33" s="9">
        <v>144</v>
      </c>
      <c r="N33" s="9">
        <v>90.5</v>
      </c>
      <c r="O33" s="9">
        <v>126.8</v>
      </c>
      <c r="P33" s="9">
        <v>120.4</v>
      </c>
      <c r="Q33" s="9">
        <v>132.1</v>
      </c>
      <c r="R33" s="9">
        <v>130.30000000000001</v>
      </c>
      <c r="S33" s="9">
        <v>131.19999999999999</v>
      </c>
      <c r="T33" s="9">
        <v>127.2</v>
      </c>
      <c r="U33" s="9">
        <v>122.9</v>
      </c>
      <c r="V33" s="9">
        <v>126.6</v>
      </c>
      <c r="W33" s="9">
        <v>120.9</v>
      </c>
      <c r="X33" s="9">
        <v>120.6</v>
      </c>
      <c r="Y33" s="9">
        <v>122</v>
      </c>
      <c r="Z33" s="9">
        <v>119.4</v>
      </c>
      <c r="AA33" s="9">
        <v>111.7</v>
      </c>
      <c r="AB33" s="9">
        <v>117.8</v>
      </c>
      <c r="AC33" s="9">
        <v>125.1</v>
      </c>
      <c r="AD33" s="9">
        <v>112.3</v>
      </c>
      <c r="AE33" s="9">
        <v>117.2</v>
      </c>
      <c r="AF33" s="9">
        <v>124.8</v>
      </c>
    </row>
    <row r="34" spans="1:32" ht="14.4" x14ac:dyDescent="0.3">
      <c r="A34" s="2" t="s">
        <v>34</v>
      </c>
      <c r="B34" s="2">
        <v>2015</v>
      </c>
      <c r="C34" s="2" t="s">
        <v>42</v>
      </c>
      <c r="D34" s="3">
        <v>42248</v>
      </c>
      <c r="E34" s="2" t="str">
        <f t="shared" ref="E34:E65" si="1">IF(D34&lt;DATE(2020,3,1),"Pre-Covid","Post-Covid")</f>
        <v>Pre-Covid</v>
      </c>
      <c r="F34" s="9">
        <v>124.6</v>
      </c>
      <c r="G34" s="9">
        <v>130.4</v>
      </c>
      <c r="H34" s="9">
        <v>118.7</v>
      </c>
      <c r="I34" s="9">
        <v>128.9</v>
      </c>
      <c r="J34" s="9">
        <v>111.9</v>
      </c>
      <c r="K34" s="9">
        <v>128.4</v>
      </c>
      <c r="L34" s="9">
        <v>162.19999999999999</v>
      </c>
      <c r="M34" s="9">
        <v>150</v>
      </c>
      <c r="N34" s="9">
        <v>90.4</v>
      </c>
      <c r="O34" s="9">
        <v>128.4</v>
      </c>
      <c r="P34" s="9">
        <v>120.7</v>
      </c>
      <c r="Q34" s="9">
        <v>132.5</v>
      </c>
      <c r="R34" s="9">
        <v>131.19999999999999</v>
      </c>
      <c r="S34" s="9">
        <v>132</v>
      </c>
      <c r="T34" s="9">
        <v>127.9</v>
      </c>
      <c r="U34" s="9">
        <v>123.4</v>
      </c>
      <c r="V34" s="9">
        <v>127.2</v>
      </c>
      <c r="W34" s="9">
        <v>121.6</v>
      </c>
      <c r="X34" s="9">
        <v>120.4</v>
      </c>
      <c r="Y34" s="9">
        <v>122.6</v>
      </c>
      <c r="Z34" s="9">
        <v>119.8</v>
      </c>
      <c r="AA34" s="9">
        <v>111.3</v>
      </c>
      <c r="AB34" s="9">
        <v>118.3</v>
      </c>
      <c r="AC34" s="9">
        <v>125.7</v>
      </c>
      <c r="AD34" s="9">
        <v>113.4</v>
      </c>
      <c r="AE34" s="9">
        <v>117.5</v>
      </c>
      <c r="AF34" s="9">
        <v>125.4</v>
      </c>
    </row>
    <row r="35" spans="1:32" ht="14.4" x14ac:dyDescent="0.3">
      <c r="A35" s="2" t="s">
        <v>34</v>
      </c>
      <c r="B35" s="2">
        <v>2015</v>
      </c>
      <c r="C35" s="2" t="s">
        <v>43</v>
      </c>
      <c r="D35" s="3">
        <v>42278</v>
      </c>
      <c r="E35" s="2" t="str">
        <f t="shared" si="1"/>
        <v>Pre-Covid</v>
      </c>
      <c r="F35" s="9">
        <v>125</v>
      </c>
      <c r="G35" s="9">
        <v>129.80000000000001</v>
      </c>
      <c r="H35" s="9">
        <v>118.9</v>
      </c>
      <c r="I35" s="9">
        <v>129.1</v>
      </c>
      <c r="J35" s="9">
        <v>113.3</v>
      </c>
      <c r="K35" s="9">
        <v>129</v>
      </c>
      <c r="L35" s="9">
        <v>160.4</v>
      </c>
      <c r="M35" s="9">
        <v>165.3</v>
      </c>
      <c r="N35" s="9">
        <v>92.3</v>
      </c>
      <c r="O35" s="9">
        <v>129.69999999999999</v>
      </c>
      <c r="P35" s="9">
        <v>121.1</v>
      </c>
      <c r="Q35" s="9">
        <v>133</v>
      </c>
      <c r="R35" s="9">
        <v>132.1</v>
      </c>
      <c r="S35" s="9">
        <v>132.5</v>
      </c>
      <c r="T35" s="9">
        <v>128.5</v>
      </c>
      <c r="U35" s="9">
        <v>123.8</v>
      </c>
      <c r="V35" s="9">
        <v>127.8</v>
      </c>
      <c r="W35" s="9">
        <v>122.4</v>
      </c>
      <c r="X35" s="9">
        <v>120.8</v>
      </c>
      <c r="Y35" s="9">
        <v>123</v>
      </c>
      <c r="Z35" s="9">
        <v>120.4</v>
      </c>
      <c r="AA35" s="9">
        <v>111.4</v>
      </c>
      <c r="AB35" s="9">
        <v>118.7</v>
      </c>
      <c r="AC35" s="9">
        <v>125.9</v>
      </c>
      <c r="AD35" s="9">
        <v>113.9</v>
      </c>
      <c r="AE35" s="9">
        <v>117.9</v>
      </c>
      <c r="AF35" s="9">
        <v>126.1</v>
      </c>
    </row>
    <row r="36" spans="1:32" ht="14.4" x14ac:dyDescent="0.3">
      <c r="A36" s="2" t="s">
        <v>34</v>
      </c>
      <c r="B36" s="2">
        <v>2015</v>
      </c>
      <c r="C36" s="2" t="s">
        <v>44</v>
      </c>
      <c r="D36" s="3">
        <v>42309</v>
      </c>
      <c r="E36" s="2" t="str">
        <f t="shared" si="1"/>
        <v>Pre-Covid</v>
      </c>
      <c r="F36" s="9">
        <v>125.4</v>
      </c>
      <c r="G36" s="9">
        <v>130.30000000000001</v>
      </c>
      <c r="H36" s="9">
        <v>121.6</v>
      </c>
      <c r="I36" s="9">
        <v>129.19999999999999</v>
      </c>
      <c r="J36" s="9">
        <v>114.9</v>
      </c>
      <c r="K36" s="9">
        <v>128.19999999999999</v>
      </c>
      <c r="L36" s="9">
        <v>158.4</v>
      </c>
      <c r="M36" s="9">
        <v>171.2</v>
      </c>
      <c r="N36" s="9">
        <v>93.3</v>
      </c>
      <c r="O36" s="9">
        <v>131.19999999999999</v>
      </c>
      <c r="P36" s="9">
        <v>121.7</v>
      </c>
      <c r="Q36" s="9">
        <v>134</v>
      </c>
      <c r="R36" s="9">
        <v>132.69999999999999</v>
      </c>
      <c r="S36" s="9">
        <v>133.6</v>
      </c>
      <c r="T36" s="9">
        <v>129.30000000000001</v>
      </c>
      <c r="U36" s="9">
        <v>124.5</v>
      </c>
      <c r="V36" s="9">
        <v>128.6</v>
      </c>
      <c r="W36" s="9">
        <v>122.9</v>
      </c>
      <c r="X36" s="9">
        <v>121.6</v>
      </c>
      <c r="Y36" s="9">
        <v>123.4</v>
      </c>
      <c r="Z36" s="9">
        <v>120.9</v>
      </c>
      <c r="AA36" s="9">
        <v>111.5</v>
      </c>
      <c r="AB36" s="9">
        <v>119.2</v>
      </c>
      <c r="AC36" s="9">
        <v>126.3</v>
      </c>
      <c r="AD36" s="9">
        <v>113.8</v>
      </c>
      <c r="AE36" s="9">
        <v>118.1</v>
      </c>
      <c r="AF36" s="9">
        <v>126.6</v>
      </c>
    </row>
    <row r="37" spans="1:32" ht="14.4" x14ac:dyDescent="0.3">
      <c r="A37" s="2" t="s">
        <v>34</v>
      </c>
      <c r="B37" s="2">
        <v>2015</v>
      </c>
      <c r="C37" s="2" t="s">
        <v>45</v>
      </c>
      <c r="D37" s="3">
        <v>42339</v>
      </c>
      <c r="E37" s="2" t="str">
        <f t="shared" si="1"/>
        <v>Pre-Covid</v>
      </c>
      <c r="F37" s="9">
        <v>125.7</v>
      </c>
      <c r="G37" s="9">
        <v>131.4</v>
      </c>
      <c r="H37" s="9">
        <v>124.8</v>
      </c>
      <c r="I37" s="9">
        <v>129.4</v>
      </c>
      <c r="J37" s="9">
        <v>115.3</v>
      </c>
      <c r="K37" s="9">
        <v>126.6</v>
      </c>
      <c r="L37" s="9">
        <v>146.69999999999999</v>
      </c>
      <c r="M37" s="9">
        <v>171.5</v>
      </c>
      <c r="N37" s="9">
        <v>94.5</v>
      </c>
      <c r="O37" s="9">
        <v>132.1</v>
      </c>
      <c r="P37" s="9">
        <v>122</v>
      </c>
      <c r="Q37" s="9">
        <v>134.69999999999999</v>
      </c>
      <c r="R37" s="9">
        <v>131.4</v>
      </c>
      <c r="S37" s="9">
        <v>134.5</v>
      </c>
      <c r="T37" s="9">
        <v>129.69999999999999</v>
      </c>
      <c r="U37" s="9">
        <v>124.8</v>
      </c>
      <c r="V37" s="9">
        <v>129</v>
      </c>
      <c r="W37" s="9">
        <v>122.4</v>
      </c>
      <c r="X37" s="9">
        <v>122</v>
      </c>
      <c r="Y37" s="9">
        <v>123.6</v>
      </c>
      <c r="Z37" s="9">
        <v>121.4</v>
      </c>
      <c r="AA37" s="9">
        <v>111.5</v>
      </c>
      <c r="AB37" s="9">
        <v>119.6</v>
      </c>
      <c r="AC37" s="9">
        <v>126.2</v>
      </c>
      <c r="AD37" s="9">
        <v>113.7</v>
      </c>
      <c r="AE37" s="9">
        <v>118.3</v>
      </c>
      <c r="AF37" s="9">
        <v>126.1</v>
      </c>
    </row>
    <row r="38" spans="1:32" ht="14.4" x14ac:dyDescent="0.3">
      <c r="A38" s="2" t="s">
        <v>34</v>
      </c>
      <c r="B38" s="2">
        <v>2016</v>
      </c>
      <c r="C38" s="2" t="s">
        <v>31</v>
      </c>
      <c r="D38" s="3">
        <v>42370</v>
      </c>
      <c r="E38" s="2" t="str">
        <f t="shared" si="1"/>
        <v>Pre-Covid</v>
      </c>
      <c r="F38" s="9">
        <v>126.1</v>
      </c>
      <c r="G38" s="9">
        <v>134.1</v>
      </c>
      <c r="H38" s="9">
        <v>128.6</v>
      </c>
      <c r="I38" s="9">
        <v>129.9</v>
      </c>
      <c r="J38" s="9">
        <v>115.5</v>
      </c>
      <c r="K38" s="9">
        <v>125.7</v>
      </c>
      <c r="L38" s="9">
        <v>141.5</v>
      </c>
      <c r="M38" s="9">
        <v>170.7</v>
      </c>
      <c r="N38" s="9">
        <v>97.4</v>
      </c>
      <c r="O38" s="9">
        <v>132.9</v>
      </c>
      <c r="P38" s="9">
        <v>122.7</v>
      </c>
      <c r="Q38" s="9">
        <v>135.30000000000001</v>
      </c>
      <c r="R38" s="9">
        <v>131.30000000000001</v>
      </c>
      <c r="S38" s="9">
        <v>135.19999999999999</v>
      </c>
      <c r="T38" s="9">
        <v>130.30000000000001</v>
      </c>
      <c r="U38" s="9">
        <v>125.1</v>
      </c>
      <c r="V38" s="9">
        <v>129.5</v>
      </c>
      <c r="W38" s="9">
        <v>123.4</v>
      </c>
      <c r="X38" s="9">
        <v>122.7</v>
      </c>
      <c r="Y38" s="9">
        <v>124.2</v>
      </c>
      <c r="Z38" s="9">
        <v>122</v>
      </c>
      <c r="AA38" s="9">
        <v>111.1</v>
      </c>
      <c r="AB38" s="9">
        <v>119.8</v>
      </c>
      <c r="AC38" s="9">
        <v>126.3</v>
      </c>
      <c r="AD38" s="9">
        <v>114.5</v>
      </c>
      <c r="AE38" s="9">
        <v>118.5</v>
      </c>
      <c r="AF38" s="9">
        <v>126.3</v>
      </c>
    </row>
    <row r="39" spans="1:32" ht="14.4" x14ac:dyDescent="0.3">
      <c r="A39" s="2" t="s">
        <v>34</v>
      </c>
      <c r="B39" s="2">
        <v>2016</v>
      </c>
      <c r="C39" s="2" t="s">
        <v>35</v>
      </c>
      <c r="D39" s="3">
        <v>42401</v>
      </c>
      <c r="E39" s="2" t="str">
        <f t="shared" si="1"/>
        <v>Pre-Covid</v>
      </c>
      <c r="F39" s="9">
        <v>126.4</v>
      </c>
      <c r="G39" s="9">
        <v>134.19999999999999</v>
      </c>
      <c r="H39" s="9">
        <v>128.69999999999999</v>
      </c>
      <c r="I39" s="9">
        <v>130.30000000000001</v>
      </c>
      <c r="J39" s="9">
        <v>114.8</v>
      </c>
      <c r="K39" s="9">
        <v>124.9</v>
      </c>
      <c r="L39" s="9">
        <v>130.30000000000001</v>
      </c>
      <c r="M39" s="9">
        <v>167.4</v>
      </c>
      <c r="N39" s="9">
        <v>98.8</v>
      </c>
      <c r="O39" s="9">
        <v>133.6</v>
      </c>
      <c r="P39" s="9">
        <v>123</v>
      </c>
      <c r="Q39" s="9">
        <v>135.80000000000001</v>
      </c>
      <c r="R39" s="9">
        <v>129.9</v>
      </c>
      <c r="S39" s="9">
        <v>135.9</v>
      </c>
      <c r="T39" s="9">
        <v>130.9</v>
      </c>
      <c r="U39" s="9">
        <v>125.8</v>
      </c>
      <c r="V39" s="9">
        <v>130.19999999999999</v>
      </c>
      <c r="W39" s="9">
        <v>124.4</v>
      </c>
      <c r="X39" s="9">
        <v>123.1</v>
      </c>
      <c r="Y39" s="9">
        <v>124.6</v>
      </c>
      <c r="Z39" s="9">
        <v>122.5</v>
      </c>
      <c r="AA39" s="9">
        <v>111.4</v>
      </c>
      <c r="AB39" s="9">
        <v>120.3</v>
      </c>
      <c r="AC39" s="9">
        <v>126.6</v>
      </c>
      <c r="AD39" s="9">
        <v>116.6</v>
      </c>
      <c r="AE39" s="9">
        <v>119.1</v>
      </c>
      <c r="AF39" s="9">
        <v>126</v>
      </c>
    </row>
    <row r="40" spans="1:32" ht="14.4" x14ac:dyDescent="0.3">
      <c r="A40" s="2" t="s">
        <v>34</v>
      </c>
      <c r="B40" s="2">
        <v>2016</v>
      </c>
      <c r="C40" s="2" t="s">
        <v>36</v>
      </c>
      <c r="D40" s="3">
        <v>42430</v>
      </c>
      <c r="E40" s="2" t="str">
        <f t="shared" si="1"/>
        <v>Pre-Covid</v>
      </c>
      <c r="F40" s="9">
        <v>126.5</v>
      </c>
      <c r="G40" s="9">
        <v>135.1</v>
      </c>
      <c r="H40" s="9">
        <v>124.6</v>
      </c>
      <c r="I40" s="9">
        <v>130.19999999999999</v>
      </c>
      <c r="J40" s="9">
        <v>114.5</v>
      </c>
      <c r="K40" s="9">
        <v>126.2</v>
      </c>
      <c r="L40" s="9">
        <v>129.80000000000001</v>
      </c>
      <c r="M40" s="9">
        <v>164.3</v>
      </c>
      <c r="N40" s="9">
        <v>100.9</v>
      </c>
      <c r="O40" s="9">
        <v>133.9</v>
      </c>
      <c r="P40" s="9">
        <v>123.1</v>
      </c>
      <c r="Q40" s="9">
        <v>136.30000000000001</v>
      </c>
      <c r="R40" s="9">
        <v>129.80000000000001</v>
      </c>
      <c r="S40" s="9">
        <v>136.5</v>
      </c>
      <c r="T40" s="9">
        <v>131.30000000000001</v>
      </c>
      <c r="U40" s="9">
        <v>126.1</v>
      </c>
      <c r="V40" s="9">
        <v>130.5</v>
      </c>
      <c r="W40" s="9">
        <v>124.9</v>
      </c>
      <c r="X40" s="9">
        <v>122.4</v>
      </c>
      <c r="Y40" s="9">
        <v>125.1</v>
      </c>
      <c r="Z40" s="9">
        <v>122.9</v>
      </c>
      <c r="AA40" s="9">
        <v>110.9</v>
      </c>
      <c r="AB40" s="9">
        <v>120.6</v>
      </c>
      <c r="AC40" s="9">
        <v>126.9</v>
      </c>
      <c r="AD40" s="9">
        <v>117.3</v>
      </c>
      <c r="AE40" s="9">
        <v>119.3</v>
      </c>
      <c r="AF40" s="9">
        <v>126</v>
      </c>
    </row>
    <row r="41" spans="1:32" ht="14.4" x14ac:dyDescent="0.3">
      <c r="A41" s="2" t="s">
        <v>34</v>
      </c>
      <c r="B41" s="2">
        <v>2016</v>
      </c>
      <c r="C41" s="2" t="s">
        <v>37</v>
      </c>
      <c r="D41" s="3">
        <v>42461</v>
      </c>
      <c r="E41" s="2" t="str">
        <f t="shared" si="1"/>
        <v>Pre-Covid</v>
      </c>
      <c r="F41" s="9">
        <v>126.6</v>
      </c>
      <c r="G41" s="9">
        <v>136.80000000000001</v>
      </c>
      <c r="H41" s="9">
        <v>122</v>
      </c>
      <c r="I41" s="9">
        <v>130.9</v>
      </c>
      <c r="J41" s="9">
        <v>114.8</v>
      </c>
      <c r="K41" s="9">
        <v>134.80000000000001</v>
      </c>
      <c r="L41" s="9">
        <v>135</v>
      </c>
      <c r="M41" s="9">
        <v>167.5</v>
      </c>
      <c r="N41" s="9">
        <v>106.4</v>
      </c>
      <c r="O41" s="9">
        <v>134.4</v>
      </c>
      <c r="P41" s="9">
        <v>123.6</v>
      </c>
      <c r="Q41" s="9">
        <v>136.69999999999999</v>
      </c>
      <c r="R41" s="9">
        <v>131.80000000000001</v>
      </c>
      <c r="S41" s="9">
        <v>137.1</v>
      </c>
      <c r="T41" s="9">
        <v>131.80000000000001</v>
      </c>
      <c r="U41" s="9">
        <v>126.4</v>
      </c>
      <c r="V41" s="9">
        <v>131</v>
      </c>
      <c r="W41" s="9">
        <v>125.6</v>
      </c>
      <c r="X41" s="9">
        <v>122.3</v>
      </c>
      <c r="Y41" s="9">
        <v>125.5</v>
      </c>
      <c r="Z41" s="9">
        <v>123.2</v>
      </c>
      <c r="AA41" s="9">
        <v>112.1</v>
      </c>
      <c r="AB41" s="9">
        <v>121.1</v>
      </c>
      <c r="AC41" s="9">
        <v>127.7</v>
      </c>
      <c r="AD41" s="9">
        <v>118.1</v>
      </c>
      <c r="AE41" s="9">
        <v>120</v>
      </c>
      <c r="AF41" s="9">
        <v>127.3</v>
      </c>
    </row>
    <row r="42" spans="1:32" ht="14.4" x14ac:dyDescent="0.3">
      <c r="A42" s="2" t="s">
        <v>34</v>
      </c>
      <c r="B42" s="2">
        <v>2016</v>
      </c>
      <c r="C42" s="2" t="s">
        <v>38</v>
      </c>
      <c r="D42" s="3">
        <v>42491</v>
      </c>
      <c r="E42" s="2" t="str">
        <f t="shared" si="1"/>
        <v>Pre-Covid</v>
      </c>
      <c r="F42" s="9">
        <v>126.8</v>
      </c>
      <c r="G42" s="9">
        <v>139.1</v>
      </c>
      <c r="H42" s="9">
        <v>125.4</v>
      </c>
      <c r="I42" s="9">
        <v>131.69999999999999</v>
      </c>
      <c r="J42" s="9">
        <v>115</v>
      </c>
      <c r="K42" s="9">
        <v>136</v>
      </c>
      <c r="L42" s="9">
        <v>145.1</v>
      </c>
      <c r="M42" s="9">
        <v>171.7</v>
      </c>
      <c r="N42" s="9">
        <v>108.7</v>
      </c>
      <c r="O42" s="9">
        <v>135.30000000000001</v>
      </c>
      <c r="P42" s="9">
        <v>124.2</v>
      </c>
      <c r="Q42" s="9">
        <v>137.4</v>
      </c>
      <c r="R42" s="9">
        <v>134</v>
      </c>
      <c r="S42" s="9">
        <v>137.69999999999999</v>
      </c>
      <c r="T42" s="9">
        <v>132.19999999999999</v>
      </c>
      <c r="U42" s="9">
        <v>126.8</v>
      </c>
      <c r="V42" s="9">
        <v>131.4</v>
      </c>
      <c r="W42" s="9">
        <v>126</v>
      </c>
      <c r="X42" s="9">
        <v>122.7</v>
      </c>
      <c r="Y42" s="9">
        <v>126</v>
      </c>
      <c r="Z42" s="9">
        <v>123.7</v>
      </c>
      <c r="AA42" s="9">
        <v>112.8</v>
      </c>
      <c r="AB42" s="9">
        <v>121.5</v>
      </c>
      <c r="AC42" s="9">
        <v>128.5</v>
      </c>
      <c r="AD42" s="9">
        <v>119.2</v>
      </c>
      <c r="AE42" s="9">
        <v>120.7</v>
      </c>
      <c r="AF42" s="9">
        <v>128.6</v>
      </c>
    </row>
    <row r="43" spans="1:32" ht="14.4" x14ac:dyDescent="0.3">
      <c r="A43" s="2" t="s">
        <v>34</v>
      </c>
      <c r="B43" s="2">
        <v>2016</v>
      </c>
      <c r="C43" s="2" t="s">
        <v>39</v>
      </c>
      <c r="D43" s="3">
        <v>42522</v>
      </c>
      <c r="E43" s="2" t="str">
        <f t="shared" si="1"/>
        <v>Pre-Covid</v>
      </c>
      <c r="F43" s="9">
        <v>127.7</v>
      </c>
      <c r="G43" s="9">
        <v>140.5</v>
      </c>
      <c r="H43" s="9">
        <v>128.30000000000001</v>
      </c>
      <c r="I43" s="9">
        <v>132.6</v>
      </c>
      <c r="J43" s="9">
        <v>115.5</v>
      </c>
      <c r="K43" s="9">
        <v>136.5</v>
      </c>
      <c r="L43" s="9">
        <v>159.69999999999999</v>
      </c>
      <c r="M43" s="9">
        <v>174.3</v>
      </c>
      <c r="N43" s="9">
        <v>109.9</v>
      </c>
      <c r="O43" s="9">
        <v>136.30000000000001</v>
      </c>
      <c r="P43" s="9">
        <v>124.4</v>
      </c>
      <c r="Q43" s="9">
        <v>138.1</v>
      </c>
      <c r="R43" s="9">
        <v>136.80000000000001</v>
      </c>
      <c r="S43" s="9">
        <v>138.69999999999999</v>
      </c>
      <c r="T43" s="9">
        <v>132.9</v>
      </c>
      <c r="U43" s="9">
        <v>127.2</v>
      </c>
      <c r="V43" s="9">
        <v>132</v>
      </c>
      <c r="W43" s="9">
        <v>125.5</v>
      </c>
      <c r="X43" s="9">
        <v>123.3</v>
      </c>
      <c r="Y43" s="9">
        <v>126.4</v>
      </c>
      <c r="Z43" s="9">
        <v>124.1</v>
      </c>
      <c r="AA43" s="9">
        <v>114.2</v>
      </c>
      <c r="AB43" s="9">
        <v>121.7</v>
      </c>
      <c r="AC43" s="9">
        <v>129.69999999999999</v>
      </c>
      <c r="AD43" s="9">
        <v>119.4</v>
      </c>
      <c r="AE43" s="9">
        <v>121.5</v>
      </c>
      <c r="AF43" s="9">
        <v>130.1</v>
      </c>
    </row>
    <row r="44" spans="1:32" ht="14.4" x14ac:dyDescent="0.3">
      <c r="A44" s="2" t="s">
        <v>34</v>
      </c>
      <c r="B44" s="2">
        <v>2016</v>
      </c>
      <c r="C44" s="2" t="s">
        <v>40</v>
      </c>
      <c r="D44" s="3">
        <v>42552</v>
      </c>
      <c r="E44" s="2" t="str">
        <f t="shared" si="1"/>
        <v>Pre-Covid</v>
      </c>
      <c r="F44" s="9">
        <v>128.5</v>
      </c>
      <c r="G44" s="9">
        <v>141.19999999999999</v>
      </c>
      <c r="H44" s="9">
        <v>132.30000000000001</v>
      </c>
      <c r="I44" s="9">
        <v>133.5</v>
      </c>
      <c r="J44" s="9">
        <v>116.4</v>
      </c>
      <c r="K44" s="9">
        <v>137.80000000000001</v>
      </c>
      <c r="L44" s="9">
        <v>165.4</v>
      </c>
      <c r="M44" s="9">
        <v>177.4</v>
      </c>
      <c r="N44" s="9">
        <v>111.3</v>
      </c>
      <c r="O44" s="9">
        <v>137.5</v>
      </c>
      <c r="P44" s="9">
        <v>125</v>
      </c>
      <c r="Q44" s="9">
        <v>138.80000000000001</v>
      </c>
      <c r="R44" s="9">
        <v>138.4</v>
      </c>
      <c r="S44" s="9">
        <v>139.30000000000001</v>
      </c>
      <c r="T44" s="9">
        <v>133.5</v>
      </c>
      <c r="U44" s="9">
        <v>127.6</v>
      </c>
      <c r="V44" s="9">
        <v>132.69999999999999</v>
      </c>
      <c r="W44" s="9">
        <v>126.4</v>
      </c>
      <c r="X44" s="9">
        <v>123.4</v>
      </c>
      <c r="Y44" s="9">
        <v>126.9</v>
      </c>
      <c r="Z44" s="9">
        <v>124.5</v>
      </c>
      <c r="AA44" s="9">
        <v>113.9</v>
      </c>
      <c r="AB44" s="9">
        <v>122.4</v>
      </c>
      <c r="AC44" s="9">
        <v>130.80000000000001</v>
      </c>
      <c r="AD44" s="9">
        <v>120.5</v>
      </c>
      <c r="AE44" s="9">
        <v>121.9</v>
      </c>
      <c r="AF44" s="9">
        <v>131.1</v>
      </c>
    </row>
    <row r="45" spans="1:32" ht="14.4" x14ac:dyDescent="0.3">
      <c r="A45" s="2" t="s">
        <v>34</v>
      </c>
      <c r="B45" s="2">
        <v>2016</v>
      </c>
      <c r="C45" s="2" t="s">
        <v>41</v>
      </c>
      <c r="D45" s="3">
        <v>42583</v>
      </c>
      <c r="E45" s="2" t="str">
        <f t="shared" si="1"/>
        <v>Pre-Covid</v>
      </c>
      <c r="F45" s="9">
        <v>129.30000000000001</v>
      </c>
      <c r="G45" s="9">
        <v>139.30000000000001</v>
      </c>
      <c r="H45" s="9">
        <v>131.6</v>
      </c>
      <c r="I45" s="9">
        <v>134.1</v>
      </c>
      <c r="J45" s="9">
        <v>116.9</v>
      </c>
      <c r="K45" s="9">
        <v>138.1</v>
      </c>
      <c r="L45" s="9">
        <v>159.1</v>
      </c>
      <c r="M45" s="9">
        <v>175.6</v>
      </c>
      <c r="N45" s="9">
        <v>112.9</v>
      </c>
      <c r="O45" s="9">
        <v>138.1</v>
      </c>
      <c r="P45" s="9">
        <v>125.5</v>
      </c>
      <c r="Q45" s="9">
        <v>139.5</v>
      </c>
      <c r="R45" s="9">
        <v>137.9</v>
      </c>
      <c r="S45" s="9">
        <v>140.19999999999999</v>
      </c>
      <c r="T45" s="9">
        <v>134.1</v>
      </c>
      <c r="U45" s="9">
        <v>128.19999999999999</v>
      </c>
      <c r="V45" s="9">
        <v>133.19999999999999</v>
      </c>
      <c r="W45" s="9">
        <v>127.3</v>
      </c>
      <c r="X45" s="9">
        <v>123.6</v>
      </c>
      <c r="Y45" s="9">
        <v>127.4</v>
      </c>
      <c r="Z45" s="9">
        <v>124.8</v>
      </c>
      <c r="AA45" s="9">
        <v>113.1</v>
      </c>
      <c r="AB45" s="9">
        <v>122.7</v>
      </c>
      <c r="AC45" s="9">
        <v>131.69999999999999</v>
      </c>
      <c r="AD45" s="9">
        <v>121.5</v>
      </c>
      <c r="AE45" s="9">
        <v>122.1</v>
      </c>
      <c r="AF45" s="9">
        <v>131.1</v>
      </c>
    </row>
    <row r="46" spans="1:32" ht="14.4" x14ac:dyDescent="0.3">
      <c r="A46" s="2" t="s">
        <v>34</v>
      </c>
      <c r="B46" s="2">
        <v>2016</v>
      </c>
      <c r="C46" s="2" t="s">
        <v>42</v>
      </c>
      <c r="D46" s="3">
        <v>42614</v>
      </c>
      <c r="E46" s="2" t="str">
        <f t="shared" si="1"/>
        <v>Pre-Covid</v>
      </c>
      <c r="F46" s="9">
        <v>129.9</v>
      </c>
      <c r="G46" s="9">
        <v>138</v>
      </c>
      <c r="H46" s="9">
        <v>130.5</v>
      </c>
      <c r="I46" s="9">
        <v>134.4</v>
      </c>
      <c r="J46" s="9">
        <v>117.2</v>
      </c>
      <c r="K46" s="9">
        <v>136.1</v>
      </c>
      <c r="L46" s="9">
        <v>150.69999999999999</v>
      </c>
      <c r="M46" s="9">
        <v>171.5</v>
      </c>
      <c r="N46" s="9">
        <v>113.8</v>
      </c>
      <c r="O46" s="9">
        <v>138.80000000000001</v>
      </c>
      <c r="P46" s="9">
        <v>126</v>
      </c>
      <c r="Q46" s="9">
        <v>140.19999999999999</v>
      </c>
      <c r="R46" s="9">
        <v>136.6</v>
      </c>
      <c r="S46" s="9">
        <v>141</v>
      </c>
      <c r="T46" s="9">
        <v>134.6</v>
      </c>
      <c r="U46" s="9">
        <v>128.6</v>
      </c>
      <c r="V46" s="9">
        <v>133.80000000000001</v>
      </c>
      <c r="W46" s="9">
        <v>127.9</v>
      </c>
      <c r="X46" s="9">
        <v>124.1</v>
      </c>
      <c r="Y46" s="9">
        <v>127.9</v>
      </c>
      <c r="Z46" s="9">
        <v>125.4</v>
      </c>
      <c r="AA46" s="9">
        <v>114.3</v>
      </c>
      <c r="AB46" s="9">
        <v>122.9</v>
      </c>
      <c r="AC46" s="9">
        <v>131.80000000000001</v>
      </c>
      <c r="AD46" s="9">
        <v>122.1</v>
      </c>
      <c r="AE46" s="9">
        <v>122.8</v>
      </c>
      <c r="AF46" s="9">
        <v>130.9</v>
      </c>
    </row>
    <row r="47" spans="1:32" ht="14.4" x14ac:dyDescent="0.3">
      <c r="A47" s="2" t="s">
        <v>34</v>
      </c>
      <c r="B47" s="2">
        <v>2016</v>
      </c>
      <c r="C47" s="2" t="s">
        <v>43</v>
      </c>
      <c r="D47" s="3">
        <v>42644</v>
      </c>
      <c r="E47" s="2" t="str">
        <f t="shared" si="1"/>
        <v>Pre-Covid</v>
      </c>
      <c r="F47" s="9">
        <v>130.5</v>
      </c>
      <c r="G47" s="9">
        <v>137.9</v>
      </c>
      <c r="H47" s="9">
        <v>130.19999999999999</v>
      </c>
      <c r="I47" s="9">
        <v>134.80000000000001</v>
      </c>
      <c r="J47" s="9">
        <v>117.8</v>
      </c>
      <c r="K47" s="9">
        <v>134.69999999999999</v>
      </c>
      <c r="L47" s="9">
        <v>151.19999999999999</v>
      </c>
      <c r="M47" s="9">
        <v>172.1</v>
      </c>
      <c r="N47" s="9">
        <v>114.1</v>
      </c>
      <c r="O47" s="9">
        <v>139.30000000000001</v>
      </c>
      <c r="P47" s="9">
        <v>126.1</v>
      </c>
      <c r="Q47" s="9">
        <v>141.1</v>
      </c>
      <c r="R47" s="9">
        <v>137</v>
      </c>
      <c r="S47" s="9">
        <v>141.80000000000001</v>
      </c>
      <c r="T47" s="9">
        <v>135.5</v>
      </c>
      <c r="U47" s="9">
        <v>129.1</v>
      </c>
      <c r="V47" s="9">
        <v>134.5</v>
      </c>
      <c r="W47" s="9">
        <v>128.69999999999999</v>
      </c>
      <c r="X47" s="9">
        <v>124.3</v>
      </c>
      <c r="Y47" s="9">
        <v>128.4</v>
      </c>
      <c r="Z47" s="9">
        <v>126.1</v>
      </c>
      <c r="AA47" s="9">
        <v>115.2</v>
      </c>
      <c r="AB47" s="9">
        <v>123.5</v>
      </c>
      <c r="AC47" s="9">
        <v>132.4</v>
      </c>
      <c r="AD47" s="9">
        <v>122.1</v>
      </c>
      <c r="AE47" s="9">
        <v>123.4</v>
      </c>
      <c r="AF47" s="9">
        <v>131.4</v>
      </c>
    </row>
    <row r="48" spans="1:32" ht="14.4" x14ac:dyDescent="0.3">
      <c r="A48" s="2" t="s">
        <v>34</v>
      </c>
      <c r="B48" s="2">
        <v>2016</v>
      </c>
      <c r="C48" s="2" t="s">
        <v>44</v>
      </c>
      <c r="D48" s="3">
        <v>42675</v>
      </c>
      <c r="E48" s="2" t="str">
        <f t="shared" si="1"/>
        <v>Pre-Covid</v>
      </c>
      <c r="F48" s="9">
        <v>131.4</v>
      </c>
      <c r="G48" s="9">
        <v>137.80000000000001</v>
      </c>
      <c r="H48" s="9">
        <v>132</v>
      </c>
      <c r="I48" s="9">
        <v>135</v>
      </c>
      <c r="J48" s="9">
        <v>118</v>
      </c>
      <c r="K48" s="9">
        <v>134.1</v>
      </c>
      <c r="L48" s="9">
        <v>141.9</v>
      </c>
      <c r="M48" s="9">
        <v>171.7</v>
      </c>
      <c r="N48" s="9">
        <v>114.1</v>
      </c>
      <c r="O48" s="9">
        <v>139.69999999999999</v>
      </c>
      <c r="P48" s="9">
        <v>126.2</v>
      </c>
      <c r="Q48" s="9">
        <v>141.80000000000001</v>
      </c>
      <c r="R48" s="9">
        <v>136.1</v>
      </c>
      <c r="S48" s="9">
        <v>142</v>
      </c>
      <c r="T48" s="9">
        <v>135.80000000000001</v>
      </c>
      <c r="U48" s="9">
        <v>129.30000000000001</v>
      </c>
      <c r="V48" s="9">
        <v>135</v>
      </c>
      <c r="W48" s="9">
        <v>129.1</v>
      </c>
      <c r="X48" s="9">
        <v>125</v>
      </c>
      <c r="Y48" s="9">
        <v>128.6</v>
      </c>
      <c r="Z48" s="9">
        <v>126.4</v>
      </c>
      <c r="AA48" s="9">
        <v>115.7</v>
      </c>
      <c r="AB48" s="9">
        <v>124</v>
      </c>
      <c r="AC48" s="9">
        <v>132.80000000000001</v>
      </c>
      <c r="AD48" s="9">
        <v>122.6</v>
      </c>
      <c r="AE48" s="9">
        <v>123.8</v>
      </c>
      <c r="AF48" s="9">
        <v>131.19999999999999</v>
      </c>
    </row>
    <row r="49" spans="1:32" ht="14.4" x14ac:dyDescent="0.3">
      <c r="A49" s="2" t="s">
        <v>34</v>
      </c>
      <c r="B49" s="2">
        <v>2016</v>
      </c>
      <c r="C49" s="2" t="s">
        <v>45</v>
      </c>
      <c r="D49" s="3">
        <v>42705</v>
      </c>
      <c r="E49" s="2" t="str">
        <f t="shared" si="1"/>
        <v>Pre-Covid</v>
      </c>
      <c r="F49" s="9">
        <v>132.30000000000001</v>
      </c>
      <c r="G49" s="9">
        <v>137.6</v>
      </c>
      <c r="H49" s="9">
        <v>132.9</v>
      </c>
      <c r="I49" s="9">
        <v>135.1</v>
      </c>
      <c r="J49" s="9">
        <v>118.6</v>
      </c>
      <c r="K49" s="9">
        <v>132.69999999999999</v>
      </c>
      <c r="L49" s="9">
        <v>125.3</v>
      </c>
      <c r="M49" s="9">
        <v>168.7</v>
      </c>
      <c r="N49" s="9">
        <v>114.4</v>
      </c>
      <c r="O49" s="9">
        <v>140.19999999999999</v>
      </c>
      <c r="P49" s="9">
        <v>126.6</v>
      </c>
      <c r="Q49" s="9">
        <v>142.30000000000001</v>
      </c>
      <c r="R49" s="9">
        <v>134</v>
      </c>
      <c r="S49" s="9">
        <v>143.1</v>
      </c>
      <c r="T49" s="9">
        <v>136.30000000000001</v>
      </c>
      <c r="U49" s="9">
        <v>129.80000000000001</v>
      </c>
      <c r="V49" s="9">
        <v>135.4</v>
      </c>
      <c r="W49" s="9">
        <v>128.5</v>
      </c>
      <c r="X49" s="9">
        <v>126.6</v>
      </c>
      <c r="Y49" s="9">
        <v>129.19999999999999</v>
      </c>
      <c r="Z49" s="9">
        <v>126.9</v>
      </c>
      <c r="AA49" s="9">
        <v>116</v>
      </c>
      <c r="AB49" s="9">
        <v>124.2</v>
      </c>
      <c r="AC49" s="9">
        <v>133.1</v>
      </c>
      <c r="AD49" s="9">
        <v>121.1</v>
      </c>
      <c r="AE49" s="9">
        <v>123.9</v>
      </c>
      <c r="AF49" s="9">
        <v>130.4</v>
      </c>
    </row>
    <row r="50" spans="1:32" ht="14.4" x14ac:dyDescent="0.3">
      <c r="A50" s="2" t="s">
        <v>34</v>
      </c>
      <c r="B50" s="2">
        <v>2017</v>
      </c>
      <c r="C50" s="2" t="s">
        <v>31</v>
      </c>
      <c r="D50" s="3">
        <v>42736</v>
      </c>
      <c r="E50" s="2" t="str">
        <f t="shared" si="1"/>
        <v>Pre-Covid</v>
      </c>
      <c r="F50" s="9">
        <v>132.80000000000001</v>
      </c>
      <c r="G50" s="9">
        <v>138.19999999999999</v>
      </c>
      <c r="H50" s="9">
        <v>132.19999999999999</v>
      </c>
      <c r="I50" s="9">
        <v>135.4</v>
      </c>
      <c r="J50" s="9">
        <v>119.1</v>
      </c>
      <c r="K50" s="9">
        <v>133</v>
      </c>
      <c r="L50" s="9">
        <v>119.4</v>
      </c>
      <c r="M50" s="9">
        <v>159.5</v>
      </c>
      <c r="N50" s="9">
        <v>115.6</v>
      </c>
      <c r="O50" s="9">
        <v>139.6</v>
      </c>
      <c r="P50" s="9">
        <v>126.6</v>
      </c>
      <c r="Q50" s="9">
        <v>142.80000000000001</v>
      </c>
      <c r="R50" s="9">
        <v>133.1</v>
      </c>
      <c r="S50" s="9">
        <v>143.80000000000001</v>
      </c>
      <c r="T50" s="9">
        <v>136.6</v>
      </c>
      <c r="U50" s="9">
        <v>130.19999999999999</v>
      </c>
      <c r="V50" s="9">
        <v>135.6</v>
      </c>
      <c r="W50" s="9">
        <v>129.6</v>
      </c>
      <c r="X50" s="9">
        <v>126.8</v>
      </c>
      <c r="Y50" s="9">
        <v>129.4</v>
      </c>
      <c r="Z50" s="9">
        <v>127.1</v>
      </c>
      <c r="AA50" s="9">
        <v>117</v>
      </c>
      <c r="AB50" s="9">
        <v>124.2</v>
      </c>
      <c r="AC50" s="9">
        <v>133.30000000000001</v>
      </c>
      <c r="AD50" s="9">
        <v>121.7</v>
      </c>
      <c r="AE50" s="9">
        <v>124.4</v>
      </c>
      <c r="AF50" s="9">
        <v>130.30000000000001</v>
      </c>
    </row>
    <row r="51" spans="1:32" ht="14.4" x14ac:dyDescent="0.3">
      <c r="A51" s="2" t="s">
        <v>34</v>
      </c>
      <c r="B51" s="2">
        <v>2017</v>
      </c>
      <c r="C51" s="2" t="s">
        <v>35</v>
      </c>
      <c r="D51" s="3">
        <v>42767</v>
      </c>
      <c r="E51" s="2" t="str">
        <f t="shared" si="1"/>
        <v>Pre-Covid</v>
      </c>
      <c r="F51" s="9">
        <v>133.1</v>
      </c>
      <c r="G51" s="9">
        <v>138.80000000000001</v>
      </c>
      <c r="H51" s="9">
        <v>129.30000000000001</v>
      </c>
      <c r="I51" s="9">
        <v>135.80000000000001</v>
      </c>
      <c r="J51" s="9">
        <v>119.2</v>
      </c>
      <c r="K51" s="9">
        <v>135.30000000000001</v>
      </c>
      <c r="L51" s="9">
        <v>119.5</v>
      </c>
      <c r="M51" s="9">
        <v>152.19999999999999</v>
      </c>
      <c r="N51" s="9">
        <v>117.3</v>
      </c>
      <c r="O51" s="9">
        <v>138.69999999999999</v>
      </c>
      <c r="P51" s="9">
        <v>126.9</v>
      </c>
      <c r="Q51" s="9">
        <v>143.19999999999999</v>
      </c>
      <c r="R51" s="9">
        <v>133</v>
      </c>
      <c r="S51" s="9">
        <v>144.4</v>
      </c>
      <c r="T51" s="9">
        <v>136.80000000000001</v>
      </c>
      <c r="U51" s="9">
        <v>130.30000000000001</v>
      </c>
      <c r="V51" s="9">
        <v>135.9</v>
      </c>
      <c r="W51" s="9">
        <v>130.5</v>
      </c>
      <c r="X51" s="9">
        <v>127.9</v>
      </c>
      <c r="Y51" s="9">
        <v>129.69999999999999</v>
      </c>
      <c r="Z51" s="9">
        <v>127.4</v>
      </c>
      <c r="AA51" s="9">
        <v>117.4</v>
      </c>
      <c r="AB51" s="9">
        <v>124.6</v>
      </c>
      <c r="AC51" s="9">
        <v>133.4</v>
      </c>
      <c r="AD51" s="9">
        <v>122.6</v>
      </c>
      <c r="AE51" s="9">
        <v>124.8</v>
      </c>
      <c r="AF51" s="9">
        <v>130.6</v>
      </c>
    </row>
    <row r="52" spans="1:32" ht="14.4" x14ac:dyDescent="0.3">
      <c r="A52" s="2" t="s">
        <v>34</v>
      </c>
      <c r="B52" s="2">
        <v>2017</v>
      </c>
      <c r="C52" s="2" t="s">
        <v>36</v>
      </c>
      <c r="D52" s="3">
        <v>42795</v>
      </c>
      <c r="E52" s="2" t="str">
        <f t="shared" si="1"/>
        <v>Pre-Covid</v>
      </c>
      <c r="F52" s="9">
        <v>133.30000000000001</v>
      </c>
      <c r="G52" s="9">
        <v>139</v>
      </c>
      <c r="H52" s="9">
        <v>128.6</v>
      </c>
      <c r="I52" s="9">
        <v>136.30000000000001</v>
      </c>
      <c r="J52" s="9">
        <v>118.8</v>
      </c>
      <c r="K52" s="9">
        <v>138.30000000000001</v>
      </c>
      <c r="L52" s="9">
        <v>120.5</v>
      </c>
      <c r="M52" s="9">
        <v>143.9</v>
      </c>
      <c r="N52" s="9">
        <v>118</v>
      </c>
      <c r="O52" s="9">
        <v>137.9</v>
      </c>
      <c r="P52" s="9">
        <v>127.2</v>
      </c>
      <c r="Q52" s="9">
        <v>144</v>
      </c>
      <c r="R52" s="9">
        <v>133.1</v>
      </c>
      <c r="S52" s="9">
        <v>145.1</v>
      </c>
      <c r="T52" s="9">
        <v>137.30000000000001</v>
      </c>
      <c r="U52" s="9">
        <v>130.6</v>
      </c>
      <c r="V52" s="9">
        <v>136.4</v>
      </c>
      <c r="W52" s="9">
        <v>131.1</v>
      </c>
      <c r="X52" s="9">
        <v>129.1</v>
      </c>
      <c r="Y52" s="9">
        <v>130.1</v>
      </c>
      <c r="Z52" s="9">
        <v>127.8</v>
      </c>
      <c r="AA52" s="9">
        <v>117.6</v>
      </c>
      <c r="AB52" s="9">
        <v>125</v>
      </c>
      <c r="AC52" s="9">
        <v>133.80000000000001</v>
      </c>
      <c r="AD52" s="9">
        <v>122.6</v>
      </c>
      <c r="AE52" s="9">
        <v>125.1</v>
      </c>
      <c r="AF52" s="9">
        <v>130.9</v>
      </c>
    </row>
    <row r="53" spans="1:32" ht="14.4" x14ac:dyDescent="0.3">
      <c r="A53" s="2" t="s">
        <v>34</v>
      </c>
      <c r="B53" s="2">
        <v>2017</v>
      </c>
      <c r="C53" s="2" t="s">
        <v>37</v>
      </c>
      <c r="D53" s="3">
        <v>42826</v>
      </c>
      <c r="E53" s="2" t="str">
        <f t="shared" si="1"/>
        <v>Pre-Covid</v>
      </c>
      <c r="F53" s="9">
        <v>133</v>
      </c>
      <c r="G53" s="9">
        <v>139.4</v>
      </c>
      <c r="H53" s="9">
        <v>126.1</v>
      </c>
      <c r="I53" s="9">
        <v>137.19999999999999</v>
      </c>
      <c r="J53" s="9">
        <v>118.4</v>
      </c>
      <c r="K53" s="9">
        <v>139.9</v>
      </c>
      <c r="L53" s="9">
        <v>123.4</v>
      </c>
      <c r="M53" s="9">
        <v>140.9</v>
      </c>
      <c r="N53" s="9">
        <v>118.5</v>
      </c>
      <c r="O53" s="9">
        <v>136.5</v>
      </c>
      <c r="P53" s="9">
        <v>127.4</v>
      </c>
      <c r="Q53" s="9">
        <v>144.19999999999999</v>
      </c>
      <c r="R53" s="9">
        <v>133.5</v>
      </c>
      <c r="S53" s="9">
        <v>145.4</v>
      </c>
      <c r="T53" s="9">
        <v>138</v>
      </c>
      <c r="U53" s="9">
        <v>131.1</v>
      </c>
      <c r="V53" s="9">
        <v>137</v>
      </c>
      <c r="W53" s="9">
        <v>131.69999999999999</v>
      </c>
      <c r="X53" s="9">
        <v>129.80000000000001</v>
      </c>
      <c r="Y53" s="9">
        <v>130.4</v>
      </c>
      <c r="Z53" s="9">
        <v>128.1</v>
      </c>
      <c r="AA53" s="9">
        <v>116.6</v>
      </c>
      <c r="AB53" s="9">
        <v>125.1</v>
      </c>
      <c r="AC53" s="9">
        <v>134.5</v>
      </c>
      <c r="AD53" s="9">
        <v>123.1</v>
      </c>
      <c r="AE53" s="9">
        <v>125.1</v>
      </c>
      <c r="AF53" s="9">
        <v>131.1</v>
      </c>
    </row>
    <row r="54" spans="1:32" ht="14.4" x14ac:dyDescent="0.3">
      <c r="A54" s="2" t="s">
        <v>34</v>
      </c>
      <c r="B54" s="2">
        <v>2017</v>
      </c>
      <c r="C54" s="2" t="s">
        <v>38</v>
      </c>
      <c r="D54" s="3">
        <v>42856</v>
      </c>
      <c r="E54" s="2" t="str">
        <f t="shared" si="1"/>
        <v>Pre-Covid</v>
      </c>
      <c r="F54" s="9">
        <v>132.9</v>
      </c>
      <c r="G54" s="9">
        <v>141.6</v>
      </c>
      <c r="H54" s="9">
        <v>126.3</v>
      </c>
      <c r="I54" s="9">
        <v>137.69999999999999</v>
      </c>
      <c r="J54" s="9">
        <v>118.1</v>
      </c>
      <c r="K54" s="9">
        <v>137.9</v>
      </c>
      <c r="L54" s="9">
        <v>125.6</v>
      </c>
      <c r="M54" s="9">
        <v>138.30000000000001</v>
      </c>
      <c r="N54" s="9">
        <v>119.4</v>
      </c>
      <c r="O54" s="9">
        <v>136</v>
      </c>
      <c r="P54" s="9">
        <v>127.6</v>
      </c>
      <c r="Q54" s="9">
        <v>144.5</v>
      </c>
      <c r="R54" s="9">
        <v>133.69999999999999</v>
      </c>
      <c r="S54" s="9">
        <v>146.19999999999999</v>
      </c>
      <c r="T54" s="9">
        <v>138.19999999999999</v>
      </c>
      <c r="U54" s="9">
        <v>131.4</v>
      </c>
      <c r="V54" s="9">
        <v>137.19999999999999</v>
      </c>
      <c r="W54" s="9">
        <v>132.1</v>
      </c>
      <c r="X54" s="9">
        <v>129.4</v>
      </c>
      <c r="Y54" s="9">
        <v>130.9</v>
      </c>
      <c r="Z54" s="9">
        <v>128.4</v>
      </c>
      <c r="AA54" s="9">
        <v>116.7</v>
      </c>
      <c r="AB54" s="9">
        <v>125.7</v>
      </c>
      <c r="AC54" s="9">
        <v>134.80000000000001</v>
      </c>
      <c r="AD54" s="9">
        <v>123</v>
      </c>
      <c r="AE54" s="9">
        <v>125.3</v>
      </c>
      <c r="AF54" s="9">
        <v>131.4</v>
      </c>
    </row>
    <row r="55" spans="1:32" ht="14.4" x14ac:dyDescent="0.3">
      <c r="A55" s="2" t="s">
        <v>34</v>
      </c>
      <c r="B55" s="2">
        <v>2017</v>
      </c>
      <c r="C55" s="2" t="s">
        <v>39</v>
      </c>
      <c r="D55" s="3">
        <v>42887</v>
      </c>
      <c r="E55" s="2" t="str">
        <f t="shared" si="1"/>
        <v>Pre-Covid</v>
      </c>
      <c r="F55" s="9">
        <v>133.30000000000001</v>
      </c>
      <c r="G55" s="9">
        <v>145.5</v>
      </c>
      <c r="H55" s="9">
        <v>128.1</v>
      </c>
      <c r="I55" s="9">
        <v>138.1</v>
      </c>
      <c r="J55" s="9">
        <v>118.2</v>
      </c>
      <c r="K55" s="9">
        <v>139.19999999999999</v>
      </c>
      <c r="L55" s="9">
        <v>133.30000000000001</v>
      </c>
      <c r="M55" s="9">
        <v>136.19999999999999</v>
      </c>
      <c r="N55" s="9">
        <v>119.6</v>
      </c>
      <c r="O55" s="9">
        <v>135.30000000000001</v>
      </c>
      <c r="P55" s="9">
        <v>127.8</v>
      </c>
      <c r="Q55" s="9">
        <v>144.9</v>
      </c>
      <c r="R55" s="9">
        <v>135.19999999999999</v>
      </c>
      <c r="S55" s="9">
        <v>146.5</v>
      </c>
      <c r="T55" s="9">
        <v>138.5</v>
      </c>
      <c r="U55" s="9">
        <v>131.69999999999999</v>
      </c>
      <c r="V55" s="9">
        <v>137.5</v>
      </c>
      <c r="W55" s="9">
        <v>131.4</v>
      </c>
      <c r="X55" s="9">
        <v>128.80000000000001</v>
      </c>
      <c r="Y55" s="9">
        <v>131.19999999999999</v>
      </c>
      <c r="Z55" s="9">
        <v>128.5</v>
      </c>
      <c r="AA55" s="9">
        <v>116.5</v>
      </c>
      <c r="AB55" s="9">
        <v>125.9</v>
      </c>
      <c r="AC55" s="9">
        <v>135.4</v>
      </c>
      <c r="AD55" s="9">
        <v>123.4</v>
      </c>
      <c r="AE55" s="9">
        <v>125.5</v>
      </c>
      <c r="AF55" s="9">
        <v>132</v>
      </c>
    </row>
    <row r="56" spans="1:32" ht="14.4" x14ac:dyDescent="0.3">
      <c r="A56" s="2" t="s">
        <v>34</v>
      </c>
      <c r="B56" s="2">
        <v>2017</v>
      </c>
      <c r="C56" s="2" t="s">
        <v>40</v>
      </c>
      <c r="D56" s="3">
        <v>42917</v>
      </c>
      <c r="E56" s="2" t="str">
        <f t="shared" si="1"/>
        <v>Pre-Covid</v>
      </c>
      <c r="F56" s="9">
        <v>133.6</v>
      </c>
      <c r="G56" s="9">
        <v>145.69999999999999</v>
      </c>
      <c r="H56" s="9">
        <v>129.6</v>
      </c>
      <c r="I56" s="9">
        <v>138.5</v>
      </c>
      <c r="J56" s="9">
        <v>118.1</v>
      </c>
      <c r="K56" s="9">
        <v>141.80000000000001</v>
      </c>
      <c r="L56" s="9">
        <v>159.5</v>
      </c>
      <c r="M56" s="9">
        <v>133.6</v>
      </c>
      <c r="N56" s="9">
        <v>120.5</v>
      </c>
      <c r="O56" s="9">
        <v>135.19999999999999</v>
      </c>
      <c r="P56" s="9">
        <v>128.5</v>
      </c>
      <c r="Q56" s="9">
        <v>145.80000000000001</v>
      </c>
      <c r="R56" s="9">
        <v>139</v>
      </c>
      <c r="S56" s="9">
        <v>148.19999999999999</v>
      </c>
      <c r="T56" s="9">
        <v>139.30000000000001</v>
      </c>
      <c r="U56" s="9">
        <v>132.1</v>
      </c>
      <c r="V56" s="9">
        <v>138.30000000000001</v>
      </c>
      <c r="W56" s="9">
        <v>132.6</v>
      </c>
      <c r="X56" s="9">
        <v>129.4</v>
      </c>
      <c r="Y56" s="9">
        <v>131.9</v>
      </c>
      <c r="Z56" s="9">
        <v>129.4</v>
      </c>
      <c r="AA56" s="9">
        <v>116</v>
      </c>
      <c r="AB56" s="9">
        <v>126.6</v>
      </c>
      <c r="AC56" s="9">
        <v>136.80000000000001</v>
      </c>
      <c r="AD56" s="9">
        <v>123.6</v>
      </c>
      <c r="AE56" s="9">
        <v>125.9</v>
      </c>
      <c r="AF56" s="9">
        <v>134.19999999999999</v>
      </c>
    </row>
    <row r="57" spans="1:32" ht="14.4" x14ac:dyDescent="0.3">
      <c r="A57" s="2" t="s">
        <v>34</v>
      </c>
      <c r="B57" s="2">
        <v>2017</v>
      </c>
      <c r="C57" s="2" t="s">
        <v>41</v>
      </c>
      <c r="D57" s="3">
        <v>42948</v>
      </c>
      <c r="E57" s="2" t="str">
        <f t="shared" si="1"/>
        <v>Pre-Covid</v>
      </c>
      <c r="F57" s="9">
        <v>134.30000000000001</v>
      </c>
      <c r="G57" s="9">
        <v>143.4</v>
      </c>
      <c r="H57" s="9">
        <v>129.30000000000001</v>
      </c>
      <c r="I57" s="9">
        <v>139</v>
      </c>
      <c r="J57" s="9">
        <v>118.1</v>
      </c>
      <c r="K57" s="9">
        <v>145.5</v>
      </c>
      <c r="L57" s="9">
        <v>168.6</v>
      </c>
      <c r="M57" s="9">
        <v>132.69999999999999</v>
      </c>
      <c r="N57" s="9">
        <v>121.2</v>
      </c>
      <c r="O57" s="9">
        <v>135.6</v>
      </c>
      <c r="P57" s="9">
        <v>128.69999999999999</v>
      </c>
      <c r="Q57" s="9">
        <v>146.80000000000001</v>
      </c>
      <c r="R57" s="9">
        <v>140.6</v>
      </c>
      <c r="S57" s="9">
        <v>149.80000000000001</v>
      </c>
      <c r="T57" s="9">
        <v>140.30000000000001</v>
      </c>
      <c r="U57" s="9">
        <v>133</v>
      </c>
      <c r="V57" s="9">
        <v>139.30000000000001</v>
      </c>
      <c r="W57" s="9">
        <v>134.4</v>
      </c>
      <c r="X57" s="9">
        <v>129.80000000000001</v>
      </c>
      <c r="Y57" s="9">
        <v>132.80000000000001</v>
      </c>
      <c r="Z57" s="9">
        <v>130.19999999999999</v>
      </c>
      <c r="AA57" s="9">
        <v>117.3</v>
      </c>
      <c r="AB57" s="9">
        <v>127.3</v>
      </c>
      <c r="AC57" s="9">
        <v>137.6</v>
      </c>
      <c r="AD57" s="9">
        <v>124.5</v>
      </c>
      <c r="AE57" s="9">
        <v>126.8</v>
      </c>
      <c r="AF57" s="9">
        <v>135.4</v>
      </c>
    </row>
    <row r="58" spans="1:32" ht="14.4" x14ac:dyDescent="0.3">
      <c r="A58" s="2" t="s">
        <v>34</v>
      </c>
      <c r="B58" s="2">
        <v>2017</v>
      </c>
      <c r="C58" s="2" t="s">
        <v>42</v>
      </c>
      <c r="D58" s="3">
        <v>42979</v>
      </c>
      <c r="E58" s="2" t="str">
        <f t="shared" si="1"/>
        <v>Pre-Covid</v>
      </c>
      <c r="F58" s="9">
        <v>134.69999999999999</v>
      </c>
      <c r="G58" s="9">
        <v>142.4</v>
      </c>
      <c r="H58" s="9">
        <v>130.19999999999999</v>
      </c>
      <c r="I58" s="9">
        <v>139.6</v>
      </c>
      <c r="J58" s="9">
        <v>118.4</v>
      </c>
      <c r="K58" s="9">
        <v>143</v>
      </c>
      <c r="L58" s="9">
        <v>156.6</v>
      </c>
      <c r="M58" s="9">
        <v>132.9</v>
      </c>
      <c r="N58" s="9">
        <v>121.5</v>
      </c>
      <c r="O58" s="9">
        <v>135.6</v>
      </c>
      <c r="P58" s="9">
        <v>128.80000000000001</v>
      </c>
      <c r="Q58" s="9">
        <v>147.30000000000001</v>
      </c>
      <c r="R58" s="9">
        <v>139</v>
      </c>
      <c r="S58" s="9">
        <v>150.80000000000001</v>
      </c>
      <c r="T58" s="9">
        <v>141.1</v>
      </c>
      <c r="U58" s="9">
        <v>133.4</v>
      </c>
      <c r="V58" s="9">
        <v>140</v>
      </c>
      <c r="W58" s="9">
        <v>135.69999999999999</v>
      </c>
      <c r="X58" s="9">
        <v>131</v>
      </c>
      <c r="Y58" s="9">
        <v>133.30000000000001</v>
      </c>
      <c r="Z58" s="9">
        <v>130.6</v>
      </c>
      <c r="AA58" s="9">
        <v>118.3</v>
      </c>
      <c r="AB58" s="9">
        <v>127.9</v>
      </c>
      <c r="AC58" s="9">
        <v>137.4</v>
      </c>
      <c r="AD58" s="9">
        <v>125.7</v>
      </c>
      <c r="AE58" s="9">
        <v>127.5</v>
      </c>
      <c r="AF58" s="9">
        <v>135.19999999999999</v>
      </c>
    </row>
    <row r="59" spans="1:32" ht="14.4" x14ac:dyDescent="0.3">
      <c r="A59" s="2" t="s">
        <v>34</v>
      </c>
      <c r="B59" s="2">
        <v>2017</v>
      </c>
      <c r="C59" s="2" t="s">
        <v>43</v>
      </c>
      <c r="D59" s="3">
        <v>43009</v>
      </c>
      <c r="E59" s="2" t="str">
        <f t="shared" si="1"/>
        <v>Pre-Covid</v>
      </c>
      <c r="F59" s="9">
        <v>135.30000000000001</v>
      </c>
      <c r="G59" s="9">
        <v>142.19999999999999</v>
      </c>
      <c r="H59" s="9">
        <v>131.19999999999999</v>
      </c>
      <c r="I59" s="9">
        <v>140.6</v>
      </c>
      <c r="J59" s="9">
        <v>119</v>
      </c>
      <c r="K59" s="9">
        <v>141.5</v>
      </c>
      <c r="L59" s="9">
        <v>162.6</v>
      </c>
      <c r="M59" s="9">
        <v>132.30000000000001</v>
      </c>
      <c r="N59" s="9">
        <v>121.8</v>
      </c>
      <c r="O59" s="9">
        <v>136.30000000000001</v>
      </c>
      <c r="P59" s="9">
        <v>128.69999999999999</v>
      </c>
      <c r="Q59" s="9">
        <v>148.1</v>
      </c>
      <c r="R59" s="9">
        <v>140.1</v>
      </c>
      <c r="S59" s="9">
        <v>151.6</v>
      </c>
      <c r="T59" s="9">
        <v>142</v>
      </c>
      <c r="U59" s="9">
        <v>134.1</v>
      </c>
      <c r="V59" s="9">
        <v>140.80000000000001</v>
      </c>
      <c r="W59" s="9">
        <v>137.30000000000001</v>
      </c>
      <c r="X59" s="9">
        <v>132.19999999999999</v>
      </c>
      <c r="Y59" s="9">
        <v>133.6</v>
      </c>
      <c r="Z59" s="9">
        <v>131.30000000000001</v>
      </c>
      <c r="AA59" s="9">
        <v>117.8</v>
      </c>
      <c r="AB59" s="9">
        <v>128.4</v>
      </c>
      <c r="AC59" s="9">
        <v>137.9</v>
      </c>
      <c r="AD59" s="9">
        <v>126.2</v>
      </c>
      <c r="AE59" s="9">
        <v>127.7</v>
      </c>
      <c r="AF59" s="9">
        <v>136.1</v>
      </c>
    </row>
    <row r="60" spans="1:32" ht="14.4" x14ac:dyDescent="0.3">
      <c r="A60" s="2" t="s">
        <v>34</v>
      </c>
      <c r="B60" s="2">
        <v>2017</v>
      </c>
      <c r="C60" s="2" t="s">
        <v>44</v>
      </c>
      <c r="D60" s="3">
        <v>43040</v>
      </c>
      <c r="E60" s="2" t="str">
        <f t="shared" si="1"/>
        <v>Pre-Covid</v>
      </c>
      <c r="F60" s="9">
        <v>135.69999999999999</v>
      </c>
      <c r="G60" s="9">
        <v>142.4</v>
      </c>
      <c r="H60" s="9">
        <v>142.9</v>
      </c>
      <c r="I60" s="9">
        <v>140.80000000000001</v>
      </c>
      <c r="J60" s="9">
        <v>119.2</v>
      </c>
      <c r="K60" s="9">
        <v>142.19999999999999</v>
      </c>
      <c r="L60" s="9">
        <v>173.8</v>
      </c>
      <c r="M60" s="9">
        <v>131.19999999999999</v>
      </c>
      <c r="N60" s="9">
        <v>123</v>
      </c>
      <c r="O60" s="9">
        <v>136.80000000000001</v>
      </c>
      <c r="P60" s="9">
        <v>129.19999999999999</v>
      </c>
      <c r="Q60" s="9">
        <v>148.9</v>
      </c>
      <c r="R60" s="9">
        <v>142.1</v>
      </c>
      <c r="S60" s="9">
        <v>153.19999999999999</v>
      </c>
      <c r="T60" s="9">
        <v>143</v>
      </c>
      <c r="U60" s="9">
        <v>134.80000000000001</v>
      </c>
      <c r="V60" s="9">
        <v>141.80000000000001</v>
      </c>
      <c r="W60" s="9">
        <v>138.6</v>
      </c>
      <c r="X60" s="9">
        <v>135.30000000000001</v>
      </c>
      <c r="Y60" s="9">
        <v>134.4</v>
      </c>
      <c r="Z60" s="9">
        <v>132.6</v>
      </c>
      <c r="AA60" s="9">
        <v>118.3</v>
      </c>
      <c r="AB60" s="9">
        <v>128.9</v>
      </c>
      <c r="AC60" s="9">
        <v>138.6</v>
      </c>
      <c r="AD60" s="9">
        <v>126.8</v>
      </c>
      <c r="AE60" s="9">
        <v>128.4</v>
      </c>
      <c r="AF60" s="9">
        <v>137.6</v>
      </c>
    </row>
    <row r="61" spans="1:32" ht="14.4" x14ac:dyDescent="0.3">
      <c r="A61" s="2" t="s">
        <v>34</v>
      </c>
      <c r="B61" s="2">
        <v>2017</v>
      </c>
      <c r="C61" s="2" t="s">
        <v>45</v>
      </c>
      <c r="D61" s="3">
        <v>43070</v>
      </c>
      <c r="E61" s="2" t="str">
        <f t="shared" si="1"/>
        <v>Pre-Covid</v>
      </c>
      <c r="F61" s="9">
        <v>135.80000000000001</v>
      </c>
      <c r="G61" s="9">
        <v>143.30000000000001</v>
      </c>
      <c r="H61" s="9">
        <v>145.19999999999999</v>
      </c>
      <c r="I61" s="9">
        <v>141</v>
      </c>
      <c r="J61" s="9">
        <v>120.5</v>
      </c>
      <c r="K61" s="9">
        <v>141.5</v>
      </c>
      <c r="L61" s="9">
        <v>161.69999999999999</v>
      </c>
      <c r="M61" s="9">
        <v>129.1</v>
      </c>
      <c r="N61" s="9">
        <v>121.5</v>
      </c>
      <c r="O61" s="9">
        <v>137.1</v>
      </c>
      <c r="P61" s="9">
        <v>128.80000000000001</v>
      </c>
      <c r="Q61" s="9">
        <v>149</v>
      </c>
      <c r="R61" s="9">
        <v>140.5</v>
      </c>
      <c r="S61" s="9">
        <v>154.19999999999999</v>
      </c>
      <c r="T61" s="9">
        <v>143.1</v>
      </c>
      <c r="U61" s="9">
        <v>135.1</v>
      </c>
      <c r="V61" s="9">
        <v>142</v>
      </c>
      <c r="W61" s="9">
        <v>139.1</v>
      </c>
      <c r="X61" s="9">
        <v>136.6</v>
      </c>
      <c r="Y61" s="9">
        <v>134.69999999999999</v>
      </c>
      <c r="Z61" s="9">
        <v>133.1</v>
      </c>
      <c r="AA61" s="9">
        <v>118.5</v>
      </c>
      <c r="AB61" s="9">
        <v>129</v>
      </c>
      <c r="AC61" s="9">
        <v>138.5</v>
      </c>
      <c r="AD61" s="9">
        <v>126.5</v>
      </c>
      <c r="AE61" s="9">
        <v>128.6</v>
      </c>
      <c r="AF61" s="9">
        <v>137.19999999999999</v>
      </c>
    </row>
    <row r="62" spans="1:32" ht="14.4" x14ac:dyDescent="0.3">
      <c r="A62" s="2" t="s">
        <v>34</v>
      </c>
      <c r="B62" s="2">
        <v>2018</v>
      </c>
      <c r="C62" s="2" t="s">
        <v>31</v>
      </c>
      <c r="D62" s="3">
        <v>43101</v>
      </c>
      <c r="E62" s="2" t="str">
        <f t="shared" si="1"/>
        <v>Pre-Covid</v>
      </c>
      <c r="F62" s="9">
        <v>136</v>
      </c>
      <c r="G62" s="9">
        <v>144.19999999999999</v>
      </c>
      <c r="H62" s="9">
        <v>143.69999999999999</v>
      </c>
      <c r="I62" s="9">
        <v>141.1</v>
      </c>
      <c r="J62" s="9">
        <v>120.7</v>
      </c>
      <c r="K62" s="9">
        <v>141.30000000000001</v>
      </c>
      <c r="L62" s="9">
        <v>151.6</v>
      </c>
      <c r="M62" s="9">
        <v>127.3</v>
      </c>
      <c r="N62" s="9">
        <v>118.8</v>
      </c>
      <c r="O62" s="9">
        <v>137.5</v>
      </c>
      <c r="P62" s="9">
        <v>129</v>
      </c>
      <c r="Q62" s="9">
        <v>149.5</v>
      </c>
      <c r="R62" s="9">
        <v>139.19999999999999</v>
      </c>
      <c r="S62" s="9">
        <v>154.69999999999999</v>
      </c>
      <c r="T62" s="9">
        <v>143.5</v>
      </c>
      <c r="U62" s="9">
        <v>135.5</v>
      </c>
      <c r="V62" s="9">
        <v>142.30000000000001</v>
      </c>
      <c r="W62" s="9">
        <v>140.4</v>
      </c>
      <c r="X62" s="9">
        <v>136.6</v>
      </c>
      <c r="Y62" s="9">
        <v>134.9</v>
      </c>
      <c r="Z62" s="9">
        <v>133.30000000000001</v>
      </c>
      <c r="AA62" s="9">
        <v>119.3</v>
      </c>
      <c r="AB62" s="9">
        <v>129.69999999999999</v>
      </c>
      <c r="AC62" s="9">
        <v>139</v>
      </c>
      <c r="AD62" s="9">
        <v>127.3</v>
      </c>
      <c r="AE62" s="9">
        <v>129.1</v>
      </c>
      <c r="AF62" s="9">
        <v>136.9</v>
      </c>
    </row>
    <row r="63" spans="1:32" ht="14.4" x14ac:dyDescent="0.3">
      <c r="A63" s="2" t="s">
        <v>34</v>
      </c>
      <c r="B63" s="2">
        <v>2018</v>
      </c>
      <c r="C63" s="2" t="s">
        <v>35</v>
      </c>
      <c r="D63" s="3">
        <v>43132</v>
      </c>
      <c r="E63" s="2" t="str">
        <f t="shared" si="1"/>
        <v>Pre-Covid</v>
      </c>
      <c r="F63" s="9">
        <v>135.9</v>
      </c>
      <c r="G63" s="9">
        <v>143.5</v>
      </c>
      <c r="H63" s="9">
        <v>140.30000000000001</v>
      </c>
      <c r="I63" s="9">
        <v>140.9</v>
      </c>
      <c r="J63" s="9">
        <v>120.4</v>
      </c>
      <c r="K63" s="9">
        <v>142.9</v>
      </c>
      <c r="L63" s="9">
        <v>140.5</v>
      </c>
      <c r="M63" s="9">
        <v>125.8</v>
      </c>
      <c r="N63" s="9">
        <v>117.1</v>
      </c>
      <c r="O63" s="9">
        <v>137.30000000000001</v>
      </c>
      <c r="P63" s="9">
        <v>128.6</v>
      </c>
      <c r="Q63" s="9">
        <v>149.6</v>
      </c>
      <c r="R63" s="9">
        <v>137.6</v>
      </c>
      <c r="S63" s="9">
        <v>154.9</v>
      </c>
      <c r="T63" s="9">
        <v>143.80000000000001</v>
      </c>
      <c r="U63" s="9">
        <v>135.6</v>
      </c>
      <c r="V63" s="9">
        <v>142.6</v>
      </c>
      <c r="W63" s="9">
        <v>141.30000000000001</v>
      </c>
      <c r="X63" s="9">
        <v>136.69999999999999</v>
      </c>
      <c r="Y63" s="9">
        <v>135.19999999999999</v>
      </c>
      <c r="Z63" s="9">
        <v>133.80000000000001</v>
      </c>
      <c r="AA63" s="9">
        <v>120.2</v>
      </c>
      <c r="AB63" s="9">
        <v>129.9</v>
      </c>
      <c r="AC63" s="9">
        <v>139</v>
      </c>
      <c r="AD63" s="9">
        <v>127.7</v>
      </c>
      <c r="AE63" s="9">
        <v>129.6</v>
      </c>
      <c r="AF63" s="9">
        <v>136.4</v>
      </c>
    </row>
    <row r="64" spans="1:32" ht="14.4" x14ac:dyDescent="0.3">
      <c r="A64" s="2" t="s">
        <v>34</v>
      </c>
      <c r="B64" s="2">
        <v>2018</v>
      </c>
      <c r="C64" s="2" t="s">
        <v>36</v>
      </c>
      <c r="D64" s="3">
        <v>43160</v>
      </c>
      <c r="E64" s="2" t="str">
        <f t="shared" si="1"/>
        <v>Pre-Covid</v>
      </c>
      <c r="F64" s="9">
        <v>136.19999999999999</v>
      </c>
      <c r="G64" s="9">
        <v>143.6</v>
      </c>
      <c r="H64" s="9">
        <v>138.30000000000001</v>
      </c>
      <c r="I64" s="9">
        <v>141.19999999999999</v>
      </c>
      <c r="J64" s="9">
        <v>120.7</v>
      </c>
      <c r="K64" s="9">
        <v>146.19999999999999</v>
      </c>
      <c r="L64" s="9">
        <v>134.6</v>
      </c>
      <c r="M64" s="9">
        <v>124.6</v>
      </c>
      <c r="N64" s="9">
        <v>116.1</v>
      </c>
      <c r="O64" s="9">
        <v>137.80000000000001</v>
      </c>
      <c r="P64" s="9">
        <v>129.1</v>
      </c>
      <c r="Q64" s="9">
        <v>150.4</v>
      </c>
      <c r="R64" s="9">
        <v>137.19999999999999</v>
      </c>
      <c r="S64" s="9">
        <v>156.30000000000001</v>
      </c>
      <c r="T64" s="9">
        <v>144.30000000000001</v>
      </c>
      <c r="U64" s="9">
        <v>136.19999999999999</v>
      </c>
      <c r="V64" s="9">
        <v>143.1</v>
      </c>
      <c r="W64" s="9">
        <v>142</v>
      </c>
      <c r="X64" s="9">
        <v>136.5</v>
      </c>
      <c r="Y64" s="9">
        <v>135.6</v>
      </c>
      <c r="Z64" s="9">
        <v>134.30000000000001</v>
      </c>
      <c r="AA64" s="9">
        <v>121</v>
      </c>
      <c r="AB64" s="9">
        <v>130.4</v>
      </c>
      <c r="AC64" s="9">
        <v>139.80000000000001</v>
      </c>
      <c r="AD64" s="9">
        <v>128.19999999999999</v>
      </c>
      <c r="AE64" s="9">
        <v>130.30000000000001</v>
      </c>
      <c r="AF64" s="9">
        <v>136.5</v>
      </c>
    </row>
    <row r="65" spans="1:32" ht="14.4" x14ac:dyDescent="0.3">
      <c r="A65" s="2" t="s">
        <v>34</v>
      </c>
      <c r="B65" s="2">
        <v>2018</v>
      </c>
      <c r="C65" s="2" t="s">
        <v>37</v>
      </c>
      <c r="D65" s="3">
        <v>43191</v>
      </c>
      <c r="E65" s="2" t="str">
        <f t="shared" si="1"/>
        <v>Pre-Covid</v>
      </c>
      <c r="F65" s="9">
        <v>136.4</v>
      </c>
      <c r="G65" s="9">
        <v>144.4</v>
      </c>
      <c r="H65" s="9">
        <v>133.9</v>
      </c>
      <c r="I65" s="9">
        <v>141.6</v>
      </c>
      <c r="J65" s="9">
        <v>121</v>
      </c>
      <c r="K65" s="9">
        <v>153.5</v>
      </c>
      <c r="L65" s="9">
        <v>132.6</v>
      </c>
      <c r="M65" s="9">
        <v>123.5</v>
      </c>
      <c r="N65" s="9">
        <v>113.7</v>
      </c>
      <c r="O65" s="9">
        <v>138.19999999999999</v>
      </c>
      <c r="P65" s="9">
        <v>129.6</v>
      </c>
      <c r="Q65" s="9">
        <v>151.19999999999999</v>
      </c>
      <c r="R65" s="9">
        <v>137.5</v>
      </c>
      <c r="S65" s="9">
        <v>156.9</v>
      </c>
      <c r="T65" s="9">
        <v>145.30000000000001</v>
      </c>
      <c r="U65" s="9">
        <v>136.69999999999999</v>
      </c>
      <c r="V65" s="9">
        <v>144</v>
      </c>
      <c r="W65" s="9">
        <v>142.9</v>
      </c>
      <c r="X65" s="9">
        <v>136.5</v>
      </c>
      <c r="Y65" s="9">
        <v>136.6</v>
      </c>
      <c r="Z65" s="9">
        <v>135.19999999999999</v>
      </c>
      <c r="AA65" s="9">
        <v>121.9</v>
      </c>
      <c r="AB65" s="9">
        <v>131.30000000000001</v>
      </c>
      <c r="AC65" s="9">
        <v>141.4</v>
      </c>
      <c r="AD65" s="9">
        <v>129.19999999999999</v>
      </c>
      <c r="AE65" s="9">
        <v>131.30000000000001</v>
      </c>
      <c r="AF65" s="9">
        <v>137.1</v>
      </c>
    </row>
    <row r="66" spans="1:32" ht="14.4" x14ac:dyDescent="0.3">
      <c r="A66" s="2" t="s">
        <v>34</v>
      </c>
      <c r="B66" s="2">
        <v>2018</v>
      </c>
      <c r="C66" s="2" t="s">
        <v>38</v>
      </c>
      <c r="D66" s="3">
        <v>43221</v>
      </c>
      <c r="E66" s="2" t="str">
        <f t="shared" ref="E66:E97" si="2">IF(D66&lt;DATE(2020,3,1),"Pre-Covid","Post-Covid")</f>
        <v>Pre-Covid</v>
      </c>
      <c r="F66" s="9">
        <v>136.6</v>
      </c>
      <c r="G66" s="9">
        <v>146.6</v>
      </c>
      <c r="H66" s="9">
        <v>133.6</v>
      </c>
      <c r="I66" s="9">
        <v>142.1</v>
      </c>
      <c r="J66" s="9">
        <v>121</v>
      </c>
      <c r="K66" s="9">
        <v>154.6</v>
      </c>
      <c r="L66" s="9">
        <v>135.6</v>
      </c>
      <c r="M66" s="9">
        <v>122.3</v>
      </c>
      <c r="N66" s="9">
        <v>109.6</v>
      </c>
      <c r="O66" s="9">
        <v>138.1</v>
      </c>
      <c r="P66" s="9">
        <v>129.9</v>
      </c>
      <c r="Q66" s="9">
        <v>151.69999999999999</v>
      </c>
      <c r="R66" s="9">
        <v>138.1</v>
      </c>
      <c r="S66" s="9">
        <v>157.9</v>
      </c>
      <c r="T66" s="9">
        <v>146</v>
      </c>
      <c r="U66" s="9">
        <v>137.4</v>
      </c>
      <c r="V66" s="9">
        <v>144.69999999999999</v>
      </c>
      <c r="W66" s="9">
        <v>143.19999999999999</v>
      </c>
      <c r="X66" s="9">
        <v>136.9</v>
      </c>
      <c r="Y66" s="9">
        <v>137.4</v>
      </c>
      <c r="Z66" s="9">
        <v>136</v>
      </c>
      <c r="AA66" s="9">
        <v>122.9</v>
      </c>
      <c r="AB66" s="9">
        <v>131.80000000000001</v>
      </c>
      <c r="AC66" s="9">
        <v>142.1</v>
      </c>
      <c r="AD66" s="9">
        <v>129.9</v>
      </c>
      <c r="AE66" s="9">
        <v>132.1</v>
      </c>
      <c r="AF66" s="9">
        <v>137.80000000000001</v>
      </c>
    </row>
    <row r="67" spans="1:32" ht="14.4" x14ac:dyDescent="0.3">
      <c r="A67" s="2" t="s">
        <v>34</v>
      </c>
      <c r="B67" s="2">
        <v>2018</v>
      </c>
      <c r="C67" s="2" t="s">
        <v>39</v>
      </c>
      <c r="D67" s="3">
        <v>43252</v>
      </c>
      <c r="E67" s="2" t="str">
        <f t="shared" si="2"/>
        <v>Pre-Covid</v>
      </c>
      <c r="F67" s="9">
        <v>136.9</v>
      </c>
      <c r="G67" s="9">
        <v>148.69999999999999</v>
      </c>
      <c r="H67" s="9">
        <v>135.6</v>
      </c>
      <c r="I67" s="9">
        <v>142.30000000000001</v>
      </c>
      <c r="J67" s="9">
        <v>121.3</v>
      </c>
      <c r="K67" s="9">
        <v>153.19999999999999</v>
      </c>
      <c r="L67" s="9">
        <v>143.69999999999999</v>
      </c>
      <c r="M67" s="9">
        <v>121.4</v>
      </c>
      <c r="N67" s="9">
        <v>111.1</v>
      </c>
      <c r="O67" s="9">
        <v>138.4</v>
      </c>
      <c r="P67" s="9">
        <v>130.30000000000001</v>
      </c>
      <c r="Q67" s="9">
        <v>151.80000000000001</v>
      </c>
      <c r="R67" s="9">
        <v>139.4</v>
      </c>
      <c r="S67" s="9">
        <v>158.30000000000001</v>
      </c>
      <c r="T67" s="9">
        <v>146.4</v>
      </c>
      <c r="U67" s="9">
        <v>138.1</v>
      </c>
      <c r="V67" s="9">
        <v>145.19999999999999</v>
      </c>
      <c r="W67" s="9">
        <v>142.5</v>
      </c>
      <c r="X67" s="9">
        <v>138.1</v>
      </c>
      <c r="Y67" s="9">
        <v>137.9</v>
      </c>
      <c r="Z67" s="9">
        <v>136.19999999999999</v>
      </c>
      <c r="AA67" s="9">
        <v>123.7</v>
      </c>
      <c r="AB67" s="9">
        <v>132.6</v>
      </c>
      <c r="AC67" s="9">
        <v>142.80000000000001</v>
      </c>
      <c r="AD67" s="9">
        <v>130.1</v>
      </c>
      <c r="AE67" s="9">
        <v>132.6</v>
      </c>
      <c r="AF67" s="9">
        <v>138.5</v>
      </c>
    </row>
    <row r="68" spans="1:32" ht="14.4" x14ac:dyDescent="0.3">
      <c r="A68" s="2" t="s">
        <v>34</v>
      </c>
      <c r="B68" s="2">
        <v>2018</v>
      </c>
      <c r="C68" s="2" t="s">
        <v>40</v>
      </c>
      <c r="D68" s="3">
        <v>43282</v>
      </c>
      <c r="E68" s="2" t="str">
        <f t="shared" si="2"/>
        <v>Pre-Covid</v>
      </c>
      <c r="F68" s="9">
        <v>137.5</v>
      </c>
      <c r="G68" s="9">
        <v>149.1</v>
      </c>
      <c r="H68" s="9">
        <v>139.19999999999999</v>
      </c>
      <c r="I68" s="9">
        <v>142.5</v>
      </c>
      <c r="J68" s="9">
        <v>121.4</v>
      </c>
      <c r="K68" s="9">
        <v>151.6</v>
      </c>
      <c r="L68" s="9">
        <v>155.9</v>
      </c>
      <c r="M68" s="9">
        <v>121.7</v>
      </c>
      <c r="N68" s="9">
        <v>113.5</v>
      </c>
      <c r="O68" s="9">
        <v>138.9</v>
      </c>
      <c r="P68" s="9">
        <v>130.30000000000001</v>
      </c>
      <c r="Q68" s="9">
        <v>152.30000000000001</v>
      </c>
      <c r="R68" s="9">
        <v>141.4</v>
      </c>
      <c r="S68" s="9">
        <v>157.5</v>
      </c>
      <c r="T68" s="9">
        <v>146.80000000000001</v>
      </c>
      <c r="U68" s="9">
        <v>138.4</v>
      </c>
      <c r="V68" s="9">
        <v>145.6</v>
      </c>
      <c r="W68" s="9">
        <v>143.6</v>
      </c>
      <c r="X68" s="9">
        <v>139.69999999999999</v>
      </c>
      <c r="Y68" s="9">
        <v>138.6</v>
      </c>
      <c r="Z68" s="9">
        <v>137</v>
      </c>
      <c r="AA68" s="9">
        <v>123.6</v>
      </c>
      <c r="AB68" s="9">
        <v>133.1</v>
      </c>
      <c r="AC68" s="9">
        <v>144.69999999999999</v>
      </c>
      <c r="AD68" s="9">
        <v>130.1</v>
      </c>
      <c r="AE68" s="9">
        <v>133.19999999999999</v>
      </c>
      <c r="AF68" s="9">
        <v>139.80000000000001</v>
      </c>
    </row>
    <row r="69" spans="1:32" ht="14.4" x14ac:dyDescent="0.3">
      <c r="A69" s="2" t="s">
        <v>34</v>
      </c>
      <c r="B69" s="2">
        <v>2018</v>
      </c>
      <c r="C69" s="2" t="s">
        <v>41</v>
      </c>
      <c r="D69" s="3">
        <v>43313</v>
      </c>
      <c r="E69" s="2" t="str">
        <f t="shared" si="2"/>
        <v>Pre-Covid</v>
      </c>
      <c r="F69" s="9">
        <v>138.30000000000001</v>
      </c>
      <c r="G69" s="9">
        <v>148</v>
      </c>
      <c r="H69" s="9">
        <v>138.1</v>
      </c>
      <c r="I69" s="9">
        <v>142.6</v>
      </c>
      <c r="J69" s="9">
        <v>122.2</v>
      </c>
      <c r="K69" s="9">
        <v>150.6</v>
      </c>
      <c r="L69" s="9">
        <v>156.6</v>
      </c>
      <c r="M69" s="9">
        <v>122.4</v>
      </c>
      <c r="N69" s="9">
        <v>114.7</v>
      </c>
      <c r="O69" s="9">
        <v>139.4</v>
      </c>
      <c r="P69" s="9">
        <v>131.1</v>
      </c>
      <c r="Q69" s="9">
        <v>153</v>
      </c>
      <c r="R69" s="9">
        <v>141.69999999999999</v>
      </c>
      <c r="S69" s="9">
        <v>157.9</v>
      </c>
      <c r="T69" s="9">
        <v>147.30000000000001</v>
      </c>
      <c r="U69" s="9">
        <v>138.80000000000001</v>
      </c>
      <c r="V69" s="9">
        <v>146.1</v>
      </c>
      <c r="W69" s="9">
        <v>144.6</v>
      </c>
      <c r="X69" s="9">
        <v>140.9</v>
      </c>
      <c r="Y69" s="9">
        <v>139.4</v>
      </c>
      <c r="Z69" s="9">
        <v>137.69999999999999</v>
      </c>
      <c r="AA69" s="9">
        <v>124.3</v>
      </c>
      <c r="AB69" s="9">
        <v>133.6</v>
      </c>
      <c r="AC69" s="9">
        <v>146</v>
      </c>
      <c r="AD69" s="9">
        <v>130.1</v>
      </c>
      <c r="AE69" s="9">
        <v>133.9</v>
      </c>
      <c r="AF69" s="9">
        <v>140.4</v>
      </c>
    </row>
    <row r="70" spans="1:32" ht="14.4" x14ac:dyDescent="0.3">
      <c r="A70" s="2" t="s">
        <v>34</v>
      </c>
      <c r="B70" s="2">
        <v>2018</v>
      </c>
      <c r="C70" s="2" t="s">
        <v>42</v>
      </c>
      <c r="D70" s="3">
        <v>43344</v>
      </c>
      <c r="E70" s="2" t="str">
        <f t="shared" si="2"/>
        <v>Pre-Covid</v>
      </c>
      <c r="F70" s="9">
        <v>138.6</v>
      </c>
      <c r="G70" s="9">
        <v>145.80000000000001</v>
      </c>
      <c r="H70" s="9">
        <v>135.1</v>
      </c>
      <c r="I70" s="9">
        <v>142.9</v>
      </c>
      <c r="J70" s="9">
        <v>122.1</v>
      </c>
      <c r="K70" s="9">
        <v>145.4</v>
      </c>
      <c r="L70" s="9">
        <v>150</v>
      </c>
      <c r="M70" s="9">
        <v>121.4</v>
      </c>
      <c r="N70" s="9">
        <v>113.7</v>
      </c>
      <c r="O70" s="9">
        <v>139.5</v>
      </c>
      <c r="P70" s="9">
        <v>130.80000000000001</v>
      </c>
      <c r="Q70" s="9">
        <v>153.80000000000001</v>
      </c>
      <c r="R70" s="9">
        <v>140.4</v>
      </c>
      <c r="S70" s="9">
        <v>159.19999999999999</v>
      </c>
      <c r="T70" s="9">
        <v>147.69999999999999</v>
      </c>
      <c r="U70" s="9">
        <v>139.1</v>
      </c>
      <c r="V70" s="9">
        <v>146.5</v>
      </c>
      <c r="W70" s="9">
        <v>145.30000000000001</v>
      </c>
      <c r="X70" s="9">
        <v>142.30000000000001</v>
      </c>
      <c r="Y70" s="9">
        <v>139.69999999999999</v>
      </c>
      <c r="Z70" s="9">
        <v>138.4</v>
      </c>
      <c r="AA70" s="9">
        <v>126</v>
      </c>
      <c r="AB70" s="9">
        <v>134.5</v>
      </c>
      <c r="AC70" s="9">
        <v>146.19999999999999</v>
      </c>
      <c r="AD70" s="9">
        <v>130.9</v>
      </c>
      <c r="AE70" s="9">
        <v>134.69999999999999</v>
      </c>
      <c r="AF70" s="9">
        <v>140.19999999999999</v>
      </c>
    </row>
    <row r="71" spans="1:32" ht="14.4" x14ac:dyDescent="0.3">
      <c r="A71" s="2" t="s">
        <v>34</v>
      </c>
      <c r="B71" s="2">
        <v>2018</v>
      </c>
      <c r="C71" s="2" t="s">
        <v>43</v>
      </c>
      <c r="D71" s="3">
        <v>43374</v>
      </c>
      <c r="E71" s="2" t="str">
        <f t="shared" si="2"/>
        <v>Pre-Covid</v>
      </c>
      <c r="F71" s="9">
        <v>137.4</v>
      </c>
      <c r="G71" s="9">
        <v>149.5</v>
      </c>
      <c r="H71" s="9">
        <v>137.30000000000001</v>
      </c>
      <c r="I71" s="9">
        <v>141.9</v>
      </c>
      <c r="J71" s="9">
        <v>121.1</v>
      </c>
      <c r="K71" s="9">
        <v>142.5</v>
      </c>
      <c r="L71" s="9">
        <v>146.69999999999999</v>
      </c>
      <c r="M71" s="9">
        <v>119.1</v>
      </c>
      <c r="N71" s="9">
        <v>111.9</v>
      </c>
      <c r="O71" s="9">
        <v>141</v>
      </c>
      <c r="P71" s="9">
        <v>133.6</v>
      </c>
      <c r="Q71" s="9">
        <v>154.5</v>
      </c>
      <c r="R71" s="9">
        <v>139.69999999999999</v>
      </c>
      <c r="S71" s="9">
        <v>162.6</v>
      </c>
      <c r="T71" s="9">
        <v>148</v>
      </c>
      <c r="U71" s="9">
        <v>139.19999999999999</v>
      </c>
      <c r="V71" s="9">
        <v>146.80000000000001</v>
      </c>
      <c r="W71" s="9">
        <v>146.9</v>
      </c>
      <c r="X71" s="9">
        <v>145.30000000000001</v>
      </c>
      <c r="Y71" s="9">
        <v>142.19999999999999</v>
      </c>
      <c r="Z71" s="9">
        <v>142.1</v>
      </c>
      <c r="AA71" s="9">
        <v>125.5</v>
      </c>
      <c r="AB71" s="9">
        <v>136.5</v>
      </c>
      <c r="AC71" s="9">
        <v>147.80000000000001</v>
      </c>
      <c r="AD71" s="9">
        <v>132</v>
      </c>
      <c r="AE71" s="9">
        <v>136.30000000000001</v>
      </c>
      <c r="AF71" s="9">
        <v>140.80000000000001</v>
      </c>
    </row>
    <row r="72" spans="1:32" ht="14.4" x14ac:dyDescent="0.3">
      <c r="A72" s="2" t="s">
        <v>34</v>
      </c>
      <c r="B72" s="2">
        <v>2018</v>
      </c>
      <c r="C72" s="2" t="s">
        <v>44</v>
      </c>
      <c r="D72" s="3">
        <v>43405</v>
      </c>
      <c r="E72" s="2" t="str">
        <f t="shared" si="2"/>
        <v>Pre-Covid</v>
      </c>
      <c r="F72" s="9">
        <v>137.4</v>
      </c>
      <c r="G72" s="9">
        <v>149.19999999999999</v>
      </c>
      <c r="H72" s="9">
        <v>137.1</v>
      </c>
      <c r="I72" s="9">
        <v>141.80000000000001</v>
      </c>
      <c r="J72" s="9">
        <v>121.1</v>
      </c>
      <c r="K72" s="9">
        <v>142.80000000000001</v>
      </c>
      <c r="L72" s="9">
        <v>146.69999999999999</v>
      </c>
      <c r="M72" s="9">
        <v>119.1</v>
      </c>
      <c r="N72" s="9">
        <v>111.9</v>
      </c>
      <c r="O72" s="9">
        <v>140.9</v>
      </c>
      <c r="P72" s="9">
        <v>133.5</v>
      </c>
      <c r="Q72" s="9">
        <v>154.5</v>
      </c>
      <c r="R72" s="9">
        <v>139.69999999999999</v>
      </c>
      <c r="S72" s="9">
        <v>162.6</v>
      </c>
      <c r="T72" s="9">
        <v>148</v>
      </c>
      <c r="U72" s="9">
        <v>139.1</v>
      </c>
      <c r="V72" s="9">
        <v>146.69999999999999</v>
      </c>
      <c r="W72" s="9">
        <v>146.9</v>
      </c>
      <c r="X72" s="9">
        <v>145.1</v>
      </c>
      <c r="Y72" s="9">
        <v>142.19999999999999</v>
      </c>
      <c r="Z72" s="9">
        <v>142.1</v>
      </c>
      <c r="AA72" s="9">
        <v>125.5</v>
      </c>
      <c r="AB72" s="9">
        <v>136.5</v>
      </c>
      <c r="AC72" s="9">
        <v>147.80000000000001</v>
      </c>
      <c r="AD72" s="9">
        <v>132</v>
      </c>
      <c r="AE72" s="9">
        <v>136.30000000000001</v>
      </c>
      <c r="AF72" s="9">
        <v>140.80000000000001</v>
      </c>
    </row>
    <row r="73" spans="1:32" ht="14.4" x14ac:dyDescent="0.3">
      <c r="A73" s="2" t="s">
        <v>34</v>
      </c>
      <c r="B73" s="2">
        <v>2018</v>
      </c>
      <c r="C73" s="2" t="s">
        <v>45</v>
      </c>
      <c r="D73" s="3">
        <v>43435</v>
      </c>
      <c r="E73" s="2" t="str">
        <f t="shared" si="2"/>
        <v>Pre-Covid</v>
      </c>
      <c r="F73" s="9">
        <v>137.5</v>
      </c>
      <c r="G73" s="9">
        <v>150.5</v>
      </c>
      <c r="H73" s="9">
        <v>138.80000000000001</v>
      </c>
      <c r="I73" s="9">
        <v>142.1</v>
      </c>
      <c r="J73" s="9">
        <v>122</v>
      </c>
      <c r="K73" s="9">
        <v>139.4</v>
      </c>
      <c r="L73" s="9">
        <v>135.19999999999999</v>
      </c>
      <c r="M73" s="9">
        <v>119.8</v>
      </c>
      <c r="N73" s="9">
        <v>110.3</v>
      </c>
      <c r="O73" s="9">
        <v>140.6</v>
      </c>
      <c r="P73" s="9">
        <v>133.80000000000001</v>
      </c>
      <c r="Q73" s="9">
        <v>154.6</v>
      </c>
      <c r="R73" s="9">
        <v>138.19999999999999</v>
      </c>
      <c r="S73" s="9">
        <v>163</v>
      </c>
      <c r="T73" s="9">
        <v>148.1</v>
      </c>
      <c r="U73" s="9">
        <v>139.4</v>
      </c>
      <c r="V73" s="9">
        <v>146.80000000000001</v>
      </c>
      <c r="W73" s="9">
        <v>146.5</v>
      </c>
      <c r="X73" s="9">
        <v>142.69999999999999</v>
      </c>
      <c r="Y73" s="9">
        <v>143.19999999999999</v>
      </c>
      <c r="Z73" s="9">
        <v>144.9</v>
      </c>
      <c r="AA73" s="9">
        <v>123.6</v>
      </c>
      <c r="AB73" s="9">
        <v>136.80000000000001</v>
      </c>
      <c r="AC73" s="9">
        <v>150.1</v>
      </c>
      <c r="AD73" s="9">
        <v>132.19999999999999</v>
      </c>
      <c r="AE73" s="9">
        <v>136.80000000000001</v>
      </c>
      <c r="AF73" s="9">
        <v>140.1</v>
      </c>
    </row>
    <row r="74" spans="1:32" ht="14.4" x14ac:dyDescent="0.3">
      <c r="A74" s="2" t="s">
        <v>34</v>
      </c>
      <c r="B74" s="2">
        <v>2019</v>
      </c>
      <c r="C74" s="2" t="s">
        <v>31</v>
      </c>
      <c r="D74" s="3">
        <v>43466</v>
      </c>
      <c r="E74" s="2" t="str">
        <f t="shared" si="2"/>
        <v>Pre-Covid</v>
      </c>
      <c r="F74" s="9">
        <v>137.1</v>
      </c>
      <c r="G74" s="9">
        <v>151.4</v>
      </c>
      <c r="H74" s="9">
        <v>140.19999999999999</v>
      </c>
      <c r="I74" s="9">
        <v>142.1</v>
      </c>
      <c r="J74" s="9">
        <v>121.8</v>
      </c>
      <c r="K74" s="9">
        <v>135.4</v>
      </c>
      <c r="L74" s="9">
        <v>131.30000000000001</v>
      </c>
      <c r="M74" s="9">
        <v>120.3</v>
      </c>
      <c r="N74" s="9">
        <v>109.1</v>
      </c>
      <c r="O74" s="9">
        <v>139.4</v>
      </c>
      <c r="P74" s="9">
        <v>133.30000000000001</v>
      </c>
      <c r="Q74" s="9">
        <v>154.6</v>
      </c>
      <c r="R74" s="9">
        <v>137.4</v>
      </c>
      <c r="S74" s="9">
        <v>163.19999999999999</v>
      </c>
      <c r="T74" s="9">
        <v>147.6</v>
      </c>
      <c r="U74" s="9">
        <v>139</v>
      </c>
      <c r="V74" s="9">
        <v>146.4</v>
      </c>
      <c r="W74" s="9">
        <v>147.69999999999999</v>
      </c>
      <c r="X74" s="9">
        <v>139.5</v>
      </c>
      <c r="Y74" s="9">
        <v>143.6</v>
      </c>
      <c r="Z74" s="9">
        <v>145.1</v>
      </c>
      <c r="AA74" s="9">
        <v>123.3</v>
      </c>
      <c r="AB74" s="9">
        <v>136.69999999999999</v>
      </c>
      <c r="AC74" s="9">
        <v>150.19999999999999</v>
      </c>
      <c r="AD74" s="9">
        <v>132.80000000000001</v>
      </c>
      <c r="AE74" s="9">
        <v>136.9</v>
      </c>
      <c r="AF74" s="9">
        <v>139.6</v>
      </c>
    </row>
    <row r="75" spans="1:32" ht="14.4" x14ac:dyDescent="0.3">
      <c r="A75" s="2" t="s">
        <v>34</v>
      </c>
      <c r="B75" s="2">
        <v>2019</v>
      </c>
      <c r="C75" s="2" t="s">
        <v>35</v>
      </c>
      <c r="D75" s="3">
        <v>43497</v>
      </c>
      <c r="E75" s="2" t="str">
        <f t="shared" si="2"/>
        <v>Pre-Covid</v>
      </c>
      <c r="F75" s="9">
        <v>137.6</v>
      </c>
      <c r="G75" s="9">
        <v>152</v>
      </c>
      <c r="H75" s="9">
        <v>141.5</v>
      </c>
      <c r="I75" s="9">
        <v>142.19999999999999</v>
      </c>
      <c r="J75" s="9">
        <v>122</v>
      </c>
      <c r="K75" s="9">
        <v>136.4</v>
      </c>
      <c r="L75" s="9">
        <v>129.69999999999999</v>
      </c>
      <c r="M75" s="9">
        <v>121</v>
      </c>
      <c r="N75" s="9">
        <v>109</v>
      </c>
      <c r="O75" s="9">
        <v>139.69999999999999</v>
      </c>
      <c r="P75" s="9">
        <v>133.6</v>
      </c>
      <c r="Q75" s="9">
        <v>154.9</v>
      </c>
      <c r="R75" s="9">
        <v>137.5</v>
      </c>
      <c r="S75" s="9">
        <v>163.4</v>
      </c>
      <c r="T75" s="9">
        <v>147.69999999999999</v>
      </c>
      <c r="U75" s="9">
        <v>139.69999999999999</v>
      </c>
      <c r="V75" s="9">
        <v>146.5</v>
      </c>
      <c r="W75" s="9">
        <v>148.5</v>
      </c>
      <c r="X75" s="9">
        <v>138.4</v>
      </c>
      <c r="Y75" s="9">
        <v>143.69999999999999</v>
      </c>
      <c r="Z75" s="9">
        <v>145.6</v>
      </c>
      <c r="AA75" s="9">
        <v>123.9</v>
      </c>
      <c r="AB75" s="9">
        <v>137.1</v>
      </c>
      <c r="AC75" s="9">
        <v>150.30000000000001</v>
      </c>
      <c r="AD75" s="9">
        <v>134.1</v>
      </c>
      <c r="AE75" s="9">
        <v>137.4</v>
      </c>
      <c r="AF75" s="9">
        <v>139.9</v>
      </c>
    </row>
    <row r="76" spans="1:32" ht="14.4" x14ac:dyDescent="0.3">
      <c r="A76" s="2" t="s">
        <v>34</v>
      </c>
      <c r="B76" s="2">
        <v>2019</v>
      </c>
      <c r="C76" s="2" t="s">
        <v>36</v>
      </c>
      <c r="D76" s="3">
        <v>43525</v>
      </c>
      <c r="E76" s="2" t="str">
        <f t="shared" si="2"/>
        <v>Pre-Covid</v>
      </c>
      <c r="F76" s="9">
        <v>137.80000000000001</v>
      </c>
      <c r="G76" s="9">
        <v>153</v>
      </c>
      <c r="H76" s="9">
        <v>140.30000000000001</v>
      </c>
      <c r="I76" s="9">
        <v>142.30000000000001</v>
      </c>
      <c r="J76" s="9">
        <v>122</v>
      </c>
      <c r="K76" s="9">
        <v>137.6</v>
      </c>
      <c r="L76" s="9">
        <v>132.6</v>
      </c>
      <c r="M76" s="9">
        <v>121.8</v>
      </c>
      <c r="N76" s="9">
        <v>109</v>
      </c>
      <c r="O76" s="9">
        <v>139.5</v>
      </c>
      <c r="P76" s="9">
        <v>133.69999999999999</v>
      </c>
      <c r="Q76" s="9">
        <v>155.19999999999999</v>
      </c>
      <c r="R76" s="9">
        <v>138.1</v>
      </c>
      <c r="S76" s="9">
        <v>163.5</v>
      </c>
      <c r="T76" s="9">
        <v>147.9</v>
      </c>
      <c r="U76" s="9">
        <v>139.9</v>
      </c>
      <c r="V76" s="9">
        <v>146.69999999999999</v>
      </c>
      <c r="W76" s="9">
        <v>149</v>
      </c>
      <c r="X76" s="9">
        <v>139.69999999999999</v>
      </c>
      <c r="Y76" s="9">
        <v>143.80000000000001</v>
      </c>
      <c r="Z76" s="9">
        <v>146.19999999999999</v>
      </c>
      <c r="AA76" s="9">
        <v>124.6</v>
      </c>
      <c r="AB76" s="9">
        <v>137.69999999999999</v>
      </c>
      <c r="AC76" s="9">
        <v>150.30000000000001</v>
      </c>
      <c r="AD76" s="9">
        <v>133.4</v>
      </c>
      <c r="AE76" s="9">
        <v>137.69999999999999</v>
      </c>
      <c r="AF76" s="9">
        <v>140.4</v>
      </c>
    </row>
    <row r="77" spans="1:32" ht="14.4" x14ac:dyDescent="0.3">
      <c r="A77" s="2" t="s">
        <v>34</v>
      </c>
      <c r="B77" s="2">
        <v>2019</v>
      </c>
      <c r="C77" s="2" t="s">
        <v>38</v>
      </c>
      <c r="D77" s="3">
        <v>43586</v>
      </c>
      <c r="E77" s="2" t="str">
        <f t="shared" si="2"/>
        <v>Pre-Covid</v>
      </c>
      <c r="F77" s="9">
        <v>138.30000000000001</v>
      </c>
      <c r="G77" s="9">
        <v>158.5</v>
      </c>
      <c r="H77" s="9">
        <v>136</v>
      </c>
      <c r="I77" s="9">
        <v>142.5</v>
      </c>
      <c r="J77" s="9">
        <v>122</v>
      </c>
      <c r="K77" s="9">
        <v>146.5</v>
      </c>
      <c r="L77" s="9">
        <v>143</v>
      </c>
      <c r="M77" s="9">
        <v>124.9</v>
      </c>
      <c r="N77" s="9">
        <v>109.9</v>
      </c>
      <c r="O77" s="9">
        <v>139.9</v>
      </c>
      <c r="P77" s="9">
        <v>134</v>
      </c>
      <c r="Q77" s="9">
        <v>155.5</v>
      </c>
      <c r="R77" s="9">
        <v>140.9</v>
      </c>
      <c r="S77" s="9">
        <v>164.1</v>
      </c>
      <c r="T77" s="9">
        <v>148.4</v>
      </c>
      <c r="U77" s="9">
        <v>140.4</v>
      </c>
      <c r="V77" s="9">
        <v>147.30000000000001</v>
      </c>
      <c r="W77" s="9">
        <v>150.1</v>
      </c>
      <c r="X77" s="9">
        <v>140.30000000000001</v>
      </c>
      <c r="Y77" s="9">
        <v>143.69999999999999</v>
      </c>
      <c r="Z77" s="9">
        <v>146.9</v>
      </c>
      <c r="AA77" s="9">
        <v>124.9</v>
      </c>
      <c r="AB77" s="9">
        <v>139.19999999999999</v>
      </c>
      <c r="AC77" s="9">
        <v>151.6</v>
      </c>
      <c r="AD77" s="9">
        <v>133.4</v>
      </c>
      <c r="AE77" s="9">
        <v>138.19999999999999</v>
      </c>
      <c r="AF77" s="9">
        <v>142</v>
      </c>
    </row>
    <row r="78" spans="1:32" ht="14.4" x14ac:dyDescent="0.3">
      <c r="A78" s="2" t="s">
        <v>34</v>
      </c>
      <c r="B78" s="2">
        <v>2019</v>
      </c>
      <c r="C78" s="2" t="s">
        <v>39</v>
      </c>
      <c r="D78" s="3">
        <v>43617</v>
      </c>
      <c r="E78" s="2" t="str">
        <f t="shared" si="2"/>
        <v>Pre-Covid</v>
      </c>
      <c r="F78" s="9">
        <v>138.69999999999999</v>
      </c>
      <c r="G78" s="9">
        <v>162.1</v>
      </c>
      <c r="H78" s="9">
        <v>137.80000000000001</v>
      </c>
      <c r="I78" s="9">
        <v>143.30000000000001</v>
      </c>
      <c r="J78" s="9">
        <v>122.2</v>
      </c>
      <c r="K78" s="9">
        <v>146.80000000000001</v>
      </c>
      <c r="L78" s="9">
        <v>150.5</v>
      </c>
      <c r="M78" s="9">
        <v>128.30000000000001</v>
      </c>
      <c r="N78" s="9">
        <v>111</v>
      </c>
      <c r="O78" s="9">
        <v>140.6</v>
      </c>
      <c r="P78" s="9">
        <v>134.19999999999999</v>
      </c>
      <c r="Q78" s="9">
        <v>155.9</v>
      </c>
      <c r="R78" s="9">
        <v>142.69999999999999</v>
      </c>
      <c r="S78" s="9">
        <v>164.9</v>
      </c>
      <c r="T78" s="9">
        <v>148.6</v>
      </c>
      <c r="U78" s="9">
        <v>140.4</v>
      </c>
      <c r="V78" s="9">
        <v>147.4</v>
      </c>
      <c r="W78" s="9">
        <v>149.4</v>
      </c>
      <c r="X78" s="9">
        <v>141.19999999999999</v>
      </c>
      <c r="Y78" s="9">
        <v>143.80000000000001</v>
      </c>
      <c r="Z78" s="9">
        <v>147.4</v>
      </c>
      <c r="AA78" s="9">
        <v>124.6</v>
      </c>
      <c r="AB78" s="9">
        <v>139.6</v>
      </c>
      <c r="AC78" s="9">
        <v>152.5</v>
      </c>
      <c r="AD78" s="9">
        <v>134.30000000000001</v>
      </c>
      <c r="AE78" s="9">
        <v>138.6</v>
      </c>
      <c r="AF78" s="9">
        <v>142.9</v>
      </c>
    </row>
    <row r="79" spans="1:32" ht="14.4" x14ac:dyDescent="0.3">
      <c r="A79" s="2" t="s">
        <v>34</v>
      </c>
      <c r="B79" s="2">
        <v>2019</v>
      </c>
      <c r="C79" s="2" t="s">
        <v>40</v>
      </c>
      <c r="D79" s="3">
        <v>43647</v>
      </c>
      <c r="E79" s="2" t="str">
        <f t="shared" si="2"/>
        <v>Pre-Covid</v>
      </c>
      <c r="F79" s="9">
        <v>139.30000000000001</v>
      </c>
      <c r="G79" s="9">
        <v>162.69999999999999</v>
      </c>
      <c r="H79" s="9">
        <v>140</v>
      </c>
      <c r="I79" s="9">
        <v>144</v>
      </c>
      <c r="J79" s="9">
        <v>122.5</v>
      </c>
      <c r="K79" s="9">
        <v>150.30000000000001</v>
      </c>
      <c r="L79" s="9">
        <v>160.30000000000001</v>
      </c>
      <c r="M79" s="9">
        <v>130</v>
      </c>
      <c r="N79" s="9">
        <v>111.1</v>
      </c>
      <c r="O79" s="9">
        <v>141.69999999999999</v>
      </c>
      <c r="P79" s="9">
        <v>134.69999999999999</v>
      </c>
      <c r="Q79" s="9">
        <v>156.19999999999999</v>
      </c>
      <c r="R79" s="9">
        <v>144.69999999999999</v>
      </c>
      <c r="S79" s="9">
        <v>165.2</v>
      </c>
      <c r="T79" s="9">
        <v>148.9</v>
      </c>
      <c r="U79" s="9">
        <v>140.5</v>
      </c>
      <c r="V79" s="9">
        <v>147.6</v>
      </c>
      <c r="W79" s="9">
        <v>150.6</v>
      </c>
      <c r="X79" s="9">
        <v>139.30000000000001</v>
      </c>
      <c r="Y79" s="9">
        <v>144.19999999999999</v>
      </c>
      <c r="Z79" s="9">
        <v>147.9</v>
      </c>
      <c r="AA79" s="9">
        <v>125.6</v>
      </c>
      <c r="AB79" s="9">
        <v>140.5</v>
      </c>
      <c r="AC79" s="9">
        <v>154</v>
      </c>
      <c r="AD79" s="9">
        <v>135.69999999999999</v>
      </c>
      <c r="AE79" s="9">
        <v>139.5</v>
      </c>
      <c r="AF79" s="9">
        <v>144.19999999999999</v>
      </c>
    </row>
    <row r="80" spans="1:32" ht="14.4" x14ac:dyDescent="0.3">
      <c r="A80" s="2" t="s">
        <v>34</v>
      </c>
      <c r="B80" s="2">
        <v>2019</v>
      </c>
      <c r="C80" s="2" t="s">
        <v>41</v>
      </c>
      <c r="D80" s="3">
        <v>43678</v>
      </c>
      <c r="E80" s="2" t="str">
        <f t="shared" si="2"/>
        <v>Pre-Covid</v>
      </c>
      <c r="F80" s="9">
        <v>140.1</v>
      </c>
      <c r="G80" s="9">
        <v>160.6</v>
      </c>
      <c r="H80" s="9">
        <v>138.5</v>
      </c>
      <c r="I80" s="9">
        <v>144.69999999999999</v>
      </c>
      <c r="J80" s="9">
        <v>122.9</v>
      </c>
      <c r="K80" s="9">
        <v>149.4</v>
      </c>
      <c r="L80" s="9">
        <v>167.4</v>
      </c>
      <c r="M80" s="9">
        <v>130.9</v>
      </c>
      <c r="N80" s="9">
        <v>112</v>
      </c>
      <c r="O80" s="9">
        <v>142.6</v>
      </c>
      <c r="P80" s="9">
        <v>134.9</v>
      </c>
      <c r="Q80" s="9">
        <v>156.6</v>
      </c>
      <c r="R80" s="9">
        <v>145.9</v>
      </c>
      <c r="S80" s="9">
        <v>165.8</v>
      </c>
      <c r="T80" s="9">
        <v>149.1</v>
      </c>
      <c r="U80" s="9">
        <v>140.6</v>
      </c>
      <c r="V80" s="9">
        <v>147.9</v>
      </c>
      <c r="W80" s="9">
        <v>151.6</v>
      </c>
      <c r="X80" s="9">
        <v>138.5</v>
      </c>
      <c r="Y80" s="9">
        <v>144.5</v>
      </c>
      <c r="Z80" s="9">
        <v>148.5</v>
      </c>
      <c r="AA80" s="9">
        <v>125.8</v>
      </c>
      <c r="AB80" s="9">
        <v>140.9</v>
      </c>
      <c r="AC80" s="9">
        <v>154.9</v>
      </c>
      <c r="AD80" s="9">
        <v>138.4</v>
      </c>
      <c r="AE80" s="9">
        <v>140.19999999999999</v>
      </c>
      <c r="AF80" s="9">
        <v>145</v>
      </c>
    </row>
    <row r="81" spans="1:32" ht="14.4" x14ac:dyDescent="0.3">
      <c r="A81" s="2" t="s">
        <v>34</v>
      </c>
      <c r="B81" s="2">
        <v>2019</v>
      </c>
      <c r="C81" s="2" t="s">
        <v>42</v>
      </c>
      <c r="D81" s="3">
        <v>43709</v>
      </c>
      <c r="E81" s="2" t="str">
        <f t="shared" si="2"/>
        <v>Pre-Covid</v>
      </c>
      <c r="F81" s="9">
        <v>140.9</v>
      </c>
      <c r="G81" s="9">
        <v>160.80000000000001</v>
      </c>
      <c r="H81" s="9">
        <v>139.6</v>
      </c>
      <c r="I81" s="9">
        <v>145.4</v>
      </c>
      <c r="J81" s="9">
        <v>123.5</v>
      </c>
      <c r="K81" s="9">
        <v>146.6</v>
      </c>
      <c r="L81" s="9">
        <v>173.2</v>
      </c>
      <c r="M81" s="9">
        <v>131.6</v>
      </c>
      <c r="N81" s="9">
        <v>113.2</v>
      </c>
      <c r="O81" s="9">
        <v>144.1</v>
      </c>
      <c r="P81" s="9">
        <v>135</v>
      </c>
      <c r="Q81" s="9">
        <v>156.80000000000001</v>
      </c>
      <c r="R81" s="9">
        <v>147</v>
      </c>
      <c r="S81" s="9">
        <v>166.5</v>
      </c>
      <c r="T81" s="9">
        <v>149.19999999999999</v>
      </c>
      <c r="U81" s="9">
        <v>140.6</v>
      </c>
      <c r="V81" s="9">
        <v>147.9</v>
      </c>
      <c r="W81" s="9">
        <v>152.19999999999999</v>
      </c>
      <c r="X81" s="9">
        <v>139.19999999999999</v>
      </c>
      <c r="Y81" s="9">
        <v>144.6</v>
      </c>
      <c r="Z81" s="9">
        <v>149</v>
      </c>
      <c r="AA81" s="9">
        <v>126.1</v>
      </c>
      <c r="AB81" s="9">
        <v>141.30000000000001</v>
      </c>
      <c r="AC81" s="9">
        <v>155.19999999999999</v>
      </c>
      <c r="AD81" s="9">
        <v>139.69999999999999</v>
      </c>
      <c r="AE81" s="9">
        <v>140.69999999999999</v>
      </c>
      <c r="AF81" s="9">
        <v>145.80000000000001</v>
      </c>
    </row>
    <row r="82" spans="1:32" ht="14.4" x14ac:dyDescent="0.3">
      <c r="A82" s="2" t="s">
        <v>34</v>
      </c>
      <c r="B82" s="2">
        <v>2019</v>
      </c>
      <c r="C82" s="2" t="s">
        <v>43</v>
      </c>
      <c r="D82" s="3">
        <v>43739</v>
      </c>
      <c r="E82" s="2" t="str">
        <f t="shared" si="2"/>
        <v>Pre-Covid</v>
      </c>
      <c r="F82" s="9">
        <v>141.80000000000001</v>
      </c>
      <c r="G82" s="9">
        <v>161</v>
      </c>
      <c r="H82" s="9">
        <v>142.6</v>
      </c>
      <c r="I82" s="9">
        <v>146.19999999999999</v>
      </c>
      <c r="J82" s="9">
        <v>123.9</v>
      </c>
      <c r="K82" s="9">
        <v>148</v>
      </c>
      <c r="L82" s="9">
        <v>188.4</v>
      </c>
      <c r="M82" s="9">
        <v>132.5</v>
      </c>
      <c r="N82" s="9">
        <v>114</v>
      </c>
      <c r="O82" s="9">
        <v>145.4</v>
      </c>
      <c r="P82" s="9">
        <v>135.1</v>
      </c>
      <c r="Q82" s="9">
        <v>157.1</v>
      </c>
      <c r="R82" s="9">
        <v>149.6</v>
      </c>
      <c r="S82" s="9">
        <v>167.1</v>
      </c>
      <c r="T82" s="9">
        <v>149.4</v>
      </c>
      <c r="U82" s="9">
        <v>140.80000000000001</v>
      </c>
      <c r="V82" s="9">
        <v>148.19999999999999</v>
      </c>
      <c r="W82" s="9">
        <v>153</v>
      </c>
      <c r="X82" s="9">
        <v>140.6</v>
      </c>
      <c r="Y82" s="9">
        <v>145</v>
      </c>
      <c r="Z82" s="9">
        <v>149.4</v>
      </c>
      <c r="AA82" s="9">
        <v>126.3</v>
      </c>
      <c r="AB82" s="9">
        <v>141.69999999999999</v>
      </c>
      <c r="AC82" s="9">
        <v>155.4</v>
      </c>
      <c r="AD82" s="9">
        <v>140</v>
      </c>
      <c r="AE82" s="9">
        <v>141</v>
      </c>
      <c r="AF82" s="9">
        <v>147.19999999999999</v>
      </c>
    </row>
    <row r="83" spans="1:32" ht="14.4" x14ac:dyDescent="0.3">
      <c r="A83" s="2" t="s">
        <v>34</v>
      </c>
      <c r="B83" s="2">
        <v>2019</v>
      </c>
      <c r="C83" s="2" t="s">
        <v>44</v>
      </c>
      <c r="D83" s="3">
        <v>43770</v>
      </c>
      <c r="E83" s="2" t="str">
        <f t="shared" si="2"/>
        <v>Pre-Covid</v>
      </c>
      <c r="F83" s="9">
        <v>142.5</v>
      </c>
      <c r="G83" s="9">
        <v>163.19999999999999</v>
      </c>
      <c r="H83" s="9">
        <v>145.6</v>
      </c>
      <c r="I83" s="9">
        <v>146.69999999999999</v>
      </c>
      <c r="J83" s="9">
        <v>124.3</v>
      </c>
      <c r="K83" s="9">
        <v>147.4</v>
      </c>
      <c r="L83" s="9">
        <v>199.6</v>
      </c>
      <c r="M83" s="9">
        <v>135.69999999999999</v>
      </c>
      <c r="N83" s="9">
        <v>114.2</v>
      </c>
      <c r="O83" s="9">
        <v>147</v>
      </c>
      <c r="P83" s="9">
        <v>135.30000000000001</v>
      </c>
      <c r="Q83" s="9">
        <v>157.5</v>
      </c>
      <c r="R83" s="9">
        <v>151.9</v>
      </c>
      <c r="S83" s="9">
        <v>167.9</v>
      </c>
      <c r="T83" s="9">
        <v>149.9</v>
      </c>
      <c r="U83" s="9">
        <v>141</v>
      </c>
      <c r="V83" s="9">
        <v>148.6</v>
      </c>
      <c r="W83" s="9">
        <v>153.5</v>
      </c>
      <c r="X83" s="9">
        <v>142.30000000000001</v>
      </c>
      <c r="Y83" s="9">
        <v>145.30000000000001</v>
      </c>
      <c r="Z83" s="9">
        <v>149.9</v>
      </c>
      <c r="AA83" s="9">
        <v>126.6</v>
      </c>
      <c r="AB83" s="9">
        <v>142.1</v>
      </c>
      <c r="AC83" s="9">
        <v>155.5</v>
      </c>
      <c r="AD83" s="9">
        <v>140.30000000000001</v>
      </c>
      <c r="AE83" s="9">
        <v>141.30000000000001</v>
      </c>
      <c r="AF83" s="9">
        <v>148.6</v>
      </c>
    </row>
    <row r="84" spans="1:32" ht="14.4" x14ac:dyDescent="0.3">
      <c r="A84" s="2" t="s">
        <v>34</v>
      </c>
      <c r="B84" s="2">
        <v>2019</v>
      </c>
      <c r="C84" s="2" t="s">
        <v>45</v>
      </c>
      <c r="D84" s="3">
        <v>43800</v>
      </c>
      <c r="E84" s="2" t="str">
        <f t="shared" si="2"/>
        <v>Pre-Covid</v>
      </c>
      <c r="F84" s="9">
        <v>143.5</v>
      </c>
      <c r="G84" s="9">
        <v>165</v>
      </c>
      <c r="H84" s="9">
        <v>151.1</v>
      </c>
      <c r="I84" s="9">
        <v>148.30000000000001</v>
      </c>
      <c r="J84" s="9">
        <v>125.7</v>
      </c>
      <c r="K84" s="9">
        <v>145.69999999999999</v>
      </c>
      <c r="L84" s="9">
        <v>217</v>
      </c>
      <c r="M84" s="9">
        <v>138.30000000000001</v>
      </c>
      <c r="N84" s="9">
        <v>114</v>
      </c>
      <c r="O84" s="9">
        <v>148.69999999999999</v>
      </c>
      <c r="P84" s="9">
        <v>135.80000000000001</v>
      </c>
      <c r="Q84" s="9">
        <v>158</v>
      </c>
      <c r="R84" s="9">
        <v>155</v>
      </c>
      <c r="S84" s="9">
        <v>168.5</v>
      </c>
      <c r="T84" s="9">
        <v>150.30000000000001</v>
      </c>
      <c r="U84" s="9">
        <v>141.30000000000001</v>
      </c>
      <c r="V84" s="9">
        <v>149</v>
      </c>
      <c r="W84" s="9">
        <v>152.80000000000001</v>
      </c>
      <c r="X84" s="9">
        <v>143.69999999999999</v>
      </c>
      <c r="Y84" s="9">
        <v>145.80000000000001</v>
      </c>
      <c r="Z84" s="9">
        <v>150.4</v>
      </c>
      <c r="AA84" s="9">
        <v>129.80000000000001</v>
      </c>
      <c r="AB84" s="9">
        <v>142.30000000000001</v>
      </c>
      <c r="AC84" s="9">
        <v>155.69999999999999</v>
      </c>
      <c r="AD84" s="9">
        <v>140.4</v>
      </c>
      <c r="AE84" s="9">
        <v>142.5</v>
      </c>
      <c r="AF84" s="9">
        <v>150.4</v>
      </c>
    </row>
    <row r="85" spans="1:32" ht="14.4" x14ac:dyDescent="0.3">
      <c r="A85" s="2" t="s">
        <v>34</v>
      </c>
      <c r="B85" s="2">
        <v>2020</v>
      </c>
      <c r="C85" s="2" t="s">
        <v>31</v>
      </c>
      <c r="D85" s="3">
        <v>43831</v>
      </c>
      <c r="E85" s="2" t="str">
        <f t="shared" si="2"/>
        <v>Pre-Covid</v>
      </c>
      <c r="F85" s="9">
        <v>144.30000000000001</v>
      </c>
      <c r="G85" s="9">
        <v>167.4</v>
      </c>
      <c r="H85" s="9">
        <v>154.9</v>
      </c>
      <c r="I85" s="9">
        <v>150.1</v>
      </c>
      <c r="J85" s="9">
        <v>129.9</v>
      </c>
      <c r="K85" s="9">
        <v>143.19999999999999</v>
      </c>
      <c r="L85" s="9">
        <v>197</v>
      </c>
      <c r="M85" s="9">
        <v>140.4</v>
      </c>
      <c r="N85" s="9">
        <v>114.1</v>
      </c>
      <c r="O85" s="9">
        <v>150.9</v>
      </c>
      <c r="P85" s="9">
        <v>136.1</v>
      </c>
      <c r="Q85" s="9">
        <v>158.6</v>
      </c>
      <c r="R85" s="9">
        <v>153.5</v>
      </c>
      <c r="S85" s="9">
        <v>169.2</v>
      </c>
      <c r="T85" s="9">
        <v>150.5</v>
      </c>
      <c r="U85" s="9">
        <v>141.5</v>
      </c>
      <c r="V85" s="9">
        <v>149.19999999999999</v>
      </c>
      <c r="W85" s="9">
        <v>153.9</v>
      </c>
      <c r="X85" s="9">
        <v>144.6</v>
      </c>
      <c r="Y85" s="9">
        <v>146.19999999999999</v>
      </c>
      <c r="Z85" s="9">
        <v>151.19999999999999</v>
      </c>
      <c r="AA85" s="9">
        <v>130.9</v>
      </c>
      <c r="AB85" s="9">
        <v>142.80000000000001</v>
      </c>
      <c r="AC85" s="9">
        <v>156.1</v>
      </c>
      <c r="AD85" s="9">
        <v>142.30000000000001</v>
      </c>
      <c r="AE85" s="9">
        <v>143.4</v>
      </c>
      <c r="AF85" s="9">
        <v>150.19999999999999</v>
      </c>
    </row>
    <row r="86" spans="1:32" ht="14.4" x14ac:dyDescent="0.3">
      <c r="A86" s="2" t="s">
        <v>34</v>
      </c>
      <c r="B86" s="2">
        <v>2020</v>
      </c>
      <c r="C86" s="2" t="s">
        <v>35</v>
      </c>
      <c r="D86" s="3">
        <v>43862</v>
      </c>
      <c r="E86" s="2" t="str">
        <f t="shared" si="2"/>
        <v>Pre-Covid</v>
      </c>
      <c r="F86" s="9">
        <v>144.80000000000001</v>
      </c>
      <c r="G86" s="9">
        <v>167.5</v>
      </c>
      <c r="H86" s="9">
        <v>151.80000000000001</v>
      </c>
      <c r="I86" s="9">
        <v>150.80000000000001</v>
      </c>
      <c r="J86" s="9">
        <v>131.4</v>
      </c>
      <c r="K86" s="9">
        <v>141.80000000000001</v>
      </c>
      <c r="L86" s="9">
        <v>170.7</v>
      </c>
      <c r="M86" s="9">
        <v>141.1</v>
      </c>
      <c r="N86" s="9">
        <v>113.6</v>
      </c>
      <c r="O86" s="9">
        <v>152</v>
      </c>
      <c r="P86" s="9">
        <v>136.5</v>
      </c>
      <c r="Q86" s="9">
        <v>159.1</v>
      </c>
      <c r="R86" s="9">
        <v>150.5</v>
      </c>
      <c r="S86" s="9">
        <v>170.1</v>
      </c>
      <c r="T86" s="9">
        <v>150.80000000000001</v>
      </c>
      <c r="U86" s="9">
        <v>141.69999999999999</v>
      </c>
      <c r="V86" s="9">
        <v>149.5</v>
      </c>
      <c r="W86" s="9">
        <v>154.80000000000001</v>
      </c>
      <c r="X86" s="9">
        <v>147.19999999999999</v>
      </c>
      <c r="Y86" s="9">
        <v>146.4</v>
      </c>
      <c r="Z86" s="9">
        <v>151.69999999999999</v>
      </c>
      <c r="AA86" s="9">
        <v>130.30000000000001</v>
      </c>
      <c r="AB86" s="9">
        <v>143.19999999999999</v>
      </c>
      <c r="AC86" s="9">
        <v>156.19999999999999</v>
      </c>
      <c r="AD86" s="9">
        <v>143.4</v>
      </c>
      <c r="AE86" s="9">
        <v>143.6</v>
      </c>
      <c r="AF86" s="9">
        <v>149.1</v>
      </c>
    </row>
    <row r="87" spans="1:32" ht="14.4" x14ac:dyDescent="0.3">
      <c r="A87" s="2" t="s">
        <v>34</v>
      </c>
      <c r="B87" s="2">
        <v>2020</v>
      </c>
      <c r="C87" s="2" t="s">
        <v>36</v>
      </c>
      <c r="D87" s="3">
        <v>43891</v>
      </c>
      <c r="E87" s="2" t="str">
        <f t="shared" si="2"/>
        <v>Post-Covid</v>
      </c>
      <c r="F87" s="9">
        <v>145.1</v>
      </c>
      <c r="G87" s="9">
        <v>167</v>
      </c>
      <c r="H87" s="9">
        <v>148.1</v>
      </c>
      <c r="I87" s="9">
        <v>151.5</v>
      </c>
      <c r="J87" s="9">
        <v>131.19999999999999</v>
      </c>
      <c r="K87" s="9">
        <v>142.5</v>
      </c>
      <c r="L87" s="9">
        <v>157.30000000000001</v>
      </c>
      <c r="M87" s="9">
        <v>141.1</v>
      </c>
      <c r="N87" s="9">
        <v>113.2</v>
      </c>
      <c r="O87" s="9">
        <v>153.19999999999999</v>
      </c>
      <c r="P87" s="9">
        <v>136.69999999999999</v>
      </c>
      <c r="Q87" s="9">
        <v>159.6</v>
      </c>
      <c r="R87" s="9">
        <v>148.9</v>
      </c>
      <c r="S87" s="9">
        <v>171.2</v>
      </c>
      <c r="T87" s="9">
        <v>151.19999999999999</v>
      </c>
      <c r="U87" s="9">
        <v>141.9</v>
      </c>
      <c r="V87" s="9">
        <v>149.80000000000001</v>
      </c>
      <c r="W87" s="9">
        <v>154.5</v>
      </c>
      <c r="X87" s="9">
        <v>148.9</v>
      </c>
      <c r="Y87" s="9">
        <v>146.4</v>
      </c>
      <c r="Z87" s="9">
        <v>152.30000000000001</v>
      </c>
      <c r="AA87" s="9">
        <v>129.9</v>
      </c>
      <c r="AB87" s="9">
        <v>143.69999999999999</v>
      </c>
      <c r="AC87" s="9">
        <v>156.1</v>
      </c>
      <c r="AD87" s="9">
        <v>145.19999999999999</v>
      </c>
      <c r="AE87" s="9">
        <v>143.80000000000001</v>
      </c>
      <c r="AF87" s="9">
        <v>148.6</v>
      </c>
    </row>
    <row r="88" spans="1:32" ht="14.4" x14ac:dyDescent="0.3">
      <c r="A88" s="2" t="s">
        <v>34</v>
      </c>
      <c r="B88" s="2">
        <v>2020</v>
      </c>
      <c r="C88" s="2" t="s">
        <v>37</v>
      </c>
      <c r="D88" s="3">
        <v>43922</v>
      </c>
      <c r="E88" s="2" t="str">
        <f t="shared" si="2"/>
        <v>Post-Covid</v>
      </c>
      <c r="F88" s="9">
        <v>148.69999999999999</v>
      </c>
      <c r="G88" s="9"/>
      <c r="H88" s="9">
        <v>148.80000000000001</v>
      </c>
      <c r="I88" s="9">
        <v>155.6</v>
      </c>
      <c r="J88" s="9">
        <v>135.1</v>
      </c>
      <c r="K88" s="9">
        <v>149.9</v>
      </c>
      <c r="L88" s="9">
        <v>168.6</v>
      </c>
      <c r="M88" s="9">
        <v>150.4</v>
      </c>
      <c r="N88" s="9">
        <v>120.3</v>
      </c>
      <c r="O88" s="9">
        <v>157.1</v>
      </c>
      <c r="P88" s="9">
        <v>136.80000000000001</v>
      </c>
      <c r="Q88" s="9">
        <v>137.37674418604655</v>
      </c>
      <c r="R88" s="9">
        <v>151.4</v>
      </c>
      <c r="S88" s="9">
        <v>139.18720930232558</v>
      </c>
      <c r="T88" s="9">
        <v>132.41395348837213</v>
      </c>
      <c r="U88" s="9">
        <v>126.76860465116283</v>
      </c>
      <c r="V88" s="9">
        <v>131.58953488372094</v>
      </c>
      <c r="W88" s="9">
        <v>155.6</v>
      </c>
      <c r="X88" s="9">
        <v>144.1</v>
      </c>
      <c r="Y88" s="9">
        <v>126.98139534883721</v>
      </c>
      <c r="Z88" s="9">
        <v>150.69999999999999</v>
      </c>
      <c r="AA88" s="9">
        <v>115.93139534883717</v>
      </c>
      <c r="AB88" s="9">
        <v>122.8697674418605</v>
      </c>
      <c r="AC88" s="9">
        <v>130.56744186046515</v>
      </c>
      <c r="AD88" s="9">
        <v>120.18604651162791</v>
      </c>
      <c r="AE88" s="9">
        <v>122.81395348837209</v>
      </c>
      <c r="AF88" s="9">
        <v>128.57558139534885</v>
      </c>
    </row>
    <row r="89" spans="1:32" ht="14.4" x14ac:dyDescent="0.3">
      <c r="A89" s="2" t="s">
        <v>34</v>
      </c>
      <c r="B89" s="2">
        <v>2020</v>
      </c>
      <c r="C89" s="2" t="s">
        <v>38</v>
      </c>
      <c r="D89" s="3">
        <v>43952</v>
      </c>
      <c r="E89" s="2" t="str">
        <f t="shared" si="2"/>
        <v>Post-Covid</v>
      </c>
      <c r="F89" s="9">
        <v>129.14482758620687</v>
      </c>
      <c r="G89" s="9">
        <v>136.54418604651167</v>
      </c>
      <c r="H89" s="9">
        <v>128.14597701149427</v>
      </c>
      <c r="I89" s="9">
        <v>131.29080459770114</v>
      </c>
      <c r="J89" s="9">
        <v>115.42758620689656</v>
      </c>
      <c r="K89" s="9">
        <v>132.9574712643678</v>
      </c>
      <c r="L89" s="9">
        <v>145.63218390804604</v>
      </c>
      <c r="M89" s="9">
        <v>132.22988505747122</v>
      </c>
      <c r="N89" s="9">
        <v>107.90919540229889</v>
      </c>
      <c r="O89" s="9">
        <v>129.80574712643684</v>
      </c>
      <c r="P89" s="9">
        <v>123.50459770114944</v>
      </c>
      <c r="Q89" s="9">
        <v>137.37674418604655</v>
      </c>
      <c r="R89" s="9">
        <v>131.81264367816095</v>
      </c>
      <c r="S89" s="9">
        <v>139.18720930232558</v>
      </c>
      <c r="T89" s="9">
        <v>132.41395348837213</v>
      </c>
      <c r="U89" s="9">
        <v>126.76860465116283</v>
      </c>
      <c r="V89" s="9">
        <v>131.58953488372094</v>
      </c>
      <c r="W89" s="9">
        <v>128.8551724137931</v>
      </c>
      <c r="X89" s="9">
        <v>125.94367816091956</v>
      </c>
      <c r="Y89" s="9">
        <v>126.98139534883721</v>
      </c>
      <c r="Z89" s="9">
        <v>126.27356321839082</v>
      </c>
      <c r="AA89" s="9">
        <v>115.93139534883717</v>
      </c>
      <c r="AB89" s="9">
        <v>122.8697674418605</v>
      </c>
      <c r="AC89" s="9">
        <v>130.56744186046515</v>
      </c>
      <c r="AD89" s="9">
        <v>120.18604651162791</v>
      </c>
      <c r="AE89" s="9">
        <v>122.81395348837209</v>
      </c>
      <c r="AF89" s="9">
        <v>128.57558139534885</v>
      </c>
    </row>
    <row r="90" spans="1:32" ht="14.4" x14ac:dyDescent="0.3">
      <c r="A90" s="2" t="s">
        <v>34</v>
      </c>
      <c r="B90" s="2">
        <v>2020</v>
      </c>
      <c r="C90" s="2" t="s">
        <v>39</v>
      </c>
      <c r="D90" s="3">
        <v>43983</v>
      </c>
      <c r="E90" s="2" t="str">
        <f t="shared" si="2"/>
        <v>Post-Covid</v>
      </c>
      <c r="F90" s="9">
        <v>149.6</v>
      </c>
      <c r="G90" s="9">
        <v>192.7</v>
      </c>
      <c r="H90" s="9">
        <v>151.4</v>
      </c>
      <c r="I90" s="9">
        <v>153.30000000000001</v>
      </c>
      <c r="J90" s="9">
        <v>136.30000000000001</v>
      </c>
      <c r="K90" s="9">
        <v>147.19999999999999</v>
      </c>
      <c r="L90" s="9">
        <v>156.5</v>
      </c>
      <c r="M90" s="9">
        <v>150.9</v>
      </c>
      <c r="N90" s="9">
        <v>114.2</v>
      </c>
      <c r="O90" s="9">
        <v>159.5</v>
      </c>
      <c r="P90" s="9">
        <v>139.4</v>
      </c>
      <c r="Q90" s="9">
        <v>161.80000000000001</v>
      </c>
      <c r="R90" s="9">
        <v>154</v>
      </c>
      <c r="S90" s="9">
        <v>183.5</v>
      </c>
      <c r="T90" s="9">
        <v>152.5</v>
      </c>
      <c r="U90" s="9">
        <v>144.4</v>
      </c>
      <c r="V90" s="9">
        <v>151.4</v>
      </c>
      <c r="W90" s="9">
        <v>154.69999999999999</v>
      </c>
      <c r="X90" s="9">
        <v>141.9</v>
      </c>
      <c r="Y90" s="9">
        <v>146.4</v>
      </c>
      <c r="Z90" s="9">
        <v>154.4</v>
      </c>
      <c r="AA90" s="9">
        <v>135</v>
      </c>
      <c r="AB90" s="9">
        <v>148.30000000000001</v>
      </c>
      <c r="AC90" s="9">
        <v>156.4</v>
      </c>
      <c r="AD90" s="9">
        <v>151.6</v>
      </c>
      <c r="AE90" s="9">
        <v>147</v>
      </c>
      <c r="AF90" s="9">
        <v>151.80000000000001</v>
      </c>
    </row>
    <row r="91" spans="1:32" ht="14.4" x14ac:dyDescent="0.3">
      <c r="A91" s="2" t="s">
        <v>34</v>
      </c>
      <c r="B91" s="2">
        <v>2020</v>
      </c>
      <c r="C91" s="2" t="s">
        <v>40</v>
      </c>
      <c r="D91" s="3">
        <v>44013</v>
      </c>
      <c r="E91" s="2" t="str">
        <f t="shared" si="2"/>
        <v>Post-Covid</v>
      </c>
      <c r="F91" s="9">
        <v>149.6</v>
      </c>
      <c r="G91" s="9">
        <v>192.7</v>
      </c>
      <c r="H91" s="9">
        <v>151.4</v>
      </c>
      <c r="I91" s="9">
        <v>153.30000000000001</v>
      </c>
      <c r="J91" s="9">
        <v>136.30000000000001</v>
      </c>
      <c r="K91" s="9">
        <v>147.19999999999999</v>
      </c>
      <c r="L91" s="9">
        <v>156.5</v>
      </c>
      <c r="M91" s="9">
        <v>150.9</v>
      </c>
      <c r="N91" s="9">
        <v>114.2</v>
      </c>
      <c r="O91" s="9">
        <v>159.5</v>
      </c>
      <c r="P91" s="9">
        <v>139.4</v>
      </c>
      <c r="Q91" s="9">
        <v>161.80000000000001</v>
      </c>
      <c r="R91" s="9">
        <v>154</v>
      </c>
      <c r="S91" s="9">
        <v>183.5</v>
      </c>
      <c r="T91" s="9">
        <v>152.5</v>
      </c>
      <c r="U91" s="9">
        <v>144.4</v>
      </c>
      <c r="V91" s="9">
        <v>151.4</v>
      </c>
      <c r="W91" s="9">
        <v>154.69999999999999</v>
      </c>
      <c r="X91" s="9">
        <v>141.9</v>
      </c>
      <c r="Y91" s="9">
        <v>146.4</v>
      </c>
      <c r="Z91" s="9">
        <v>154.4</v>
      </c>
      <c r="AA91" s="9">
        <v>135</v>
      </c>
      <c r="AB91" s="9">
        <v>148.30000000000001</v>
      </c>
      <c r="AC91" s="9">
        <v>156.4</v>
      </c>
      <c r="AD91" s="9">
        <v>151.6</v>
      </c>
      <c r="AE91" s="9">
        <v>147</v>
      </c>
      <c r="AF91" s="9">
        <v>151.80000000000001</v>
      </c>
    </row>
    <row r="92" spans="1:32" ht="14.4" x14ac:dyDescent="0.3">
      <c r="A92" s="2" t="s">
        <v>34</v>
      </c>
      <c r="B92" s="2">
        <v>2020</v>
      </c>
      <c r="C92" s="2" t="s">
        <v>41</v>
      </c>
      <c r="D92" s="3">
        <v>44044</v>
      </c>
      <c r="E92" s="2" t="str">
        <f t="shared" si="2"/>
        <v>Post-Covid</v>
      </c>
      <c r="F92" s="9">
        <v>148.9</v>
      </c>
      <c r="G92" s="9">
        <v>190.9</v>
      </c>
      <c r="H92" s="9">
        <v>150.80000000000001</v>
      </c>
      <c r="I92" s="9">
        <v>153.30000000000001</v>
      </c>
      <c r="J92" s="9">
        <v>137.4</v>
      </c>
      <c r="K92" s="9">
        <v>150.4</v>
      </c>
      <c r="L92" s="9">
        <v>178.1</v>
      </c>
      <c r="M92" s="9">
        <v>150.4</v>
      </c>
      <c r="N92" s="9">
        <v>115.1</v>
      </c>
      <c r="O92" s="9">
        <v>160</v>
      </c>
      <c r="P92" s="9">
        <v>140.6</v>
      </c>
      <c r="Q92" s="9">
        <v>162.30000000000001</v>
      </c>
      <c r="R92" s="9">
        <v>157</v>
      </c>
      <c r="S92" s="9">
        <v>182.6</v>
      </c>
      <c r="T92" s="9">
        <v>153.1</v>
      </c>
      <c r="U92" s="9">
        <v>143.4</v>
      </c>
      <c r="V92" s="9">
        <v>151.69999999999999</v>
      </c>
      <c r="W92" s="9">
        <v>155.5</v>
      </c>
      <c r="X92" s="9">
        <v>143</v>
      </c>
      <c r="Y92" s="9">
        <v>148.4</v>
      </c>
      <c r="Z92" s="9">
        <v>155</v>
      </c>
      <c r="AA92" s="9">
        <v>138.5</v>
      </c>
      <c r="AB92" s="9">
        <v>146</v>
      </c>
      <c r="AC92" s="9">
        <v>158.5</v>
      </c>
      <c r="AD92" s="9">
        <v>154.30000000000001</v>
      </c>
      <c r="AE92" s="9">
        <v>149</v>
      </c>
      <c r="AF92" s="9">
        <v>153.9</v>
      </c>
    </row>
    <row r="93" spans="1:32" ht="14.4" x14ac:dyDescent="0.3">
      <c r="A93" s="2" t="s">
        <v>34</v>
      </c>
      <c r="B93" s="2">
        <v>2020</v>
      </c>
      <c r="C93" s="2" t="s">
        <v>42</v>
      </c>
      <c r="D93" s="3">
        <v>44075</v>
      </c>
      <c r="E93" s="2" t="str">
        <f t="shared" si="2"/>
        <v>Post-Covid</v>
      </c>
      <c r="F93" s="9">
        <v>148.4</v>
      </c>
      <c r="G93" s="9">
        <v>187.1</v>
      </c>
      <c r="H93" s="9">
        <v>152.5</v>
      </c>
      <c r="I93" s="9">
        <v>153.6</v>
      </c>
      <c r="J93" s="9">
        <v>138.19999999999999</v>
      </c>
      <c r="K93" s="9">
        <v>150.9</v>
      </c>
      <c r="L93" s="9">
        <v>186.7</v>
      </c>
      <c r="M93" s="9">
        <v>149.80000000000001</v>
      </c>
      <c r="N93" s="9">
        <v>116.4</v>
      </c>
      <c r="O93" s="9">
        <v>160.30000000000001</v>
      </c>
      <c r="P93" s="9">
        <v>142.19999999999999</v>
      </c>
      <c r="Q93" s="9">
        <v>162.9</v>
      </c>
      <c r="R93" s="9">
        <v>158</v>
      </c>
      <c r="S93" s="9">
        <v>184.4</v>
      </c>
      <c r="T93" s="9">
        <v>153.4</v>
      </c>
      <c r="U93" s="9">
        <v>144.30000000000001</v>
      </c>
      <c r="V93" s="9">
        <v>152</v>
      </c>
      <c r="W93" s="9">
        <v>156.30000000000001</v>
      </c>
      <c r="X93" s="9">
        <v>142.9</v>
      </c>
      <c r="Y93" s="9">
        <v>148.69999999999999</v>
      </c>
      <c r="Z93" s="9">
        <v>155.6</v>
      </c>
      <c r="AA93" s="9">
        <v>139.6</v>
      </c>
      <c r="AB93" s="9">
        <v>146.6</v>
      </c>
      <c r="AC93" s="9">
        <v>157.5</v>
      </c>
      <c r="AD93" s="9">
        <v>158.4</v>
      </c>
      <c r="AE93" s="9">
        <v>150</v>
      </c>
      <c r="AF93" s="9">
        <v>154.69999999999999</v>
      </c>
    </row>
    <row r="94" spans="1:32" ht="14.4" x14ac:dyDescent="0.3">
      <c r="A94" s="2" t="s">
        <v>34</v>
      </c>
      <c r="B94" s="2">
        <v>2020</v>
      </c>
      <c r="C94" s="2" t="s">
        <v>43</v>
      </c>
      <c r="D94" s="3">
        <v>44105</v>
      </c>
      <c r="E94" s="2" t="str">
        <f t="shared" si="2"/>
        <v>Post-Covid</v>
      </c>
      <c r="F94" s="9">
        <v>147.5</v>
      </c>
      <c r="G94" s="9">
        <v>188.9</v>
      </c>
      <c r="H94" s="9">
        <v>161.4</v>
      </c>
      <c r="I94" s="9">
        <v>153.6</v>
      </c>
      <c r="J94" s="9">
        <v>140.1</v>
      </c>
      <c r="K94" s="9">
        <v>151.19999999999999</v>
      </c>
      <c r="L94" s="9">
        <v>209.2</v>
      </c>
      <c r="M94" s="9">
        <v>150.9</v>
      </c>
      <c r="N94" s="9">
        <v>116.2</v>
      </c>
      <c r="O94" s="9">
        <v>161</v>
      </c>
      <c r="P94" s="9">
        <v>144</v>
      </c>
      <c r="Q94" s="9">
        <v>163.19999999999999</v>
      </c>
      <c r="R94" s="9">
        <v>161.4</v>
      </c>
      <c r="S94" s="9">
        <v>184.3</v>
      </c>
      <c r="T94" s="9">
        <v>153.69999999999999</v>
      </c>
      <c r="U94" s="9">
        <v>144.6</v>
      </c>
      <c r="V94" s="9">
        <v>152.30000000000001</v>
      </c>
      <c r="W94" s="9">
        <v>156.5</v>
      </c>
      <c r="X94" s="9">
        <v>143.1</v>
      </c>
      <c r="Y94" s="9">
        <v>148.69999999999999</v>
      </c>
      <c r="Z94" s="9">
        <v>156.30000000000001</v>
      </c>
      <c r="AA94" s="9">
        <v>140.6</v>
      </c>
      <c r="AB94" s="9">
        <v>146.5</v>
      </c>
      <c r="AC94" s="9">
        <v>158.5</v>
      </c>
      <c r="AD94" s="9">
        <v>157</v>
      </c>
      <c r="AE94" s="9">
        <v>150.4</v>
      </c>
      <c r="AF94" s="9">
        <v>156.4</v>
      </c>
    </row>
    <row r="95" spans="1:32" ht="14.4" x14ac:dyDescent="0.3">
      <c r="A95" s="2" t="s">
        <v>34</v>
      </c>
      <c r="B95" s="2">
        <v>2020</v>
      </c>
      <c r="C95" s="2" t="s">
        <v>44</v>
      </c>
      <c r="D95" s="3">
        <v>44136</v>
      </c>
      <c r="E95" s="2" t="str">
        <f t="shared" si="2"/>
        <v>Post-Covid</v>
      </c>
      <c r="F95" s="9">
        <v>146.80000000000001</v>
      </c>
      <c r="G95" s="9">
        <v>191</v>
      </c>
      <c r="H95" s="9">
        <v>173.6</v>
      </c>
      <c r="I95" s="9">
        <v>153.80000000000001</v>
      </c>
      <c r="J95" s="9">
        <v>142.69999999999999</v>
      </c>
      <c r="K95" s="9">
        <v>148.4</v>
      </c>
      <c r="L95" s="9">
        <v>230</v>
      </c>
      <c r="M95" s="9">
        <v>156.80000000000001</v>
      </c>
      <c r="N95" s="9">
        <v>115.7</v>
      </c>
      <c r="O95" s="9">
        <v>161.80000000000001</v>
      </c>
      <c r="P95" s="9">
        <v>146.5</v>
      </c>
      <c r="Q95" s="9">
        <v>163.80000000000001</v>
      </c>
      <c r="R95" s="9">
        <v>164.7</v>
      </c>
      <c r="S95" s="9">
        <v>184.8</v>
      </c>
      <c r="T95" s="9">
        <v>154.30000000000001</v>
      </c>
      <c r="U95" s="9">
        <v>144.9</v>
      </c>
      <c r="V95" s="9">
        <v>152.80000000000001</v>
      </c>
      <c r="W95" s="9">
        <v>158</v>
      </c>
      <c r="X95" s="9">
        <v>143.6</v>
      </c>
      <c r="Y95" s="9">
        <v>149.19999999999999</v>
      </c>
      <c r="Z95" s="9">
        <v>157.19999999999999</v>
      </c>
      <c r="AA95" s="9">
        <v>140.4</v>
      </c>
      <c r="AB95" s="9">
        <v>148.4</v>
      </c>
      <c r="AC95" s="9">
        <v>158.6</v>
      </c>
      <c r="AD95" s="9">
        <v>156.9</v>
      </c>
      <c r="AE95" s="9">
        <v>150.69999999999999</v>
      </c>
      <c r="AF95" s="9">
        <v>158.4</v>
      </c>
    </row>
    <row r="96" spans="1:32" ht="14.4" x14ac:dyDescent="0.3">
      <c r="A96" s="2" t="s">
        <v>34</v>
      </c>
      <c r="B96" s="2">
        <v>2020</v>
      </c>
      <c r="C96" s="2" t="s">
        <v>45</v>
      </c>
      <c r="D96" s="3">
        <v>44166</v>
      </c>
      <c r="E96" s="2" t="str">
        <f t="shared" si="2"/>
        <v>Post-Covid</v>
      </c>
      <c r="F96" s="9">
        <v>146</v>
      </c>
      <c r="G96" s="9">
        <v>191</v>
      </c>
      <c r="H96" s="9">
        <v>175.3</v>
      </c>
      <c r="I96" s="9">
        <v>154.1</v>
      </c>
      <c r="J96" s="9">
        <v>146.6</v>
      </c>
      <c r="K96" s="9">
        <v>147.69999999999999</v>
      </c>
      <c r="L96" s="9">
        <v>230.5</v>
      </c>
      <c r="M96" s="9">
        <v>160.19999999999999</v>
      </c>
      <c r="N96" s="9">
        <v>115.3</v>
      </c>
      <c r="O96" s="9">
        <v>163</v>
      </c>
      <c r="P96" s="9">
        <v>149.19999999999999</v>
      </c>
      <c r="Q96" s="9">
        <v>164.8</v>
      </c>
      <c r="R96" s="9">
        <v>165.4</v>
      </c>
      <c r="S96" s="9">
        <v>185.4</v>
      </c>
      <c r="T96" s="9">
        <v>155</v>
      </c>
      <c r="U96" s="9">
        <v>145.4</v>
      </c>
      <c r="V96" s="9">
        <v>153.6</v>
      </c>
      <c r="W96" s="9">
        <v>158.4</v>
      </c>
      <c r="X96" s="9">
        <v>144.6</v>
      </c>
      <c r="Y96" s="9">
        <v>149.69999999999999</v>
      </c>
      <c r="Z96" s="9">
        <v>158.30000000000001</v>
      </c>
      <c r="AA96" s="9">
        <v>140.69999999999999</v>
      </c>
      <c r="AB96" s="9">
        <v>148.5</v>
      </c>
      <c r="AC96" s="9">
        <v>159.4</v>
      </c>
      <c r="AD96" s="9">
        <v>157.1</v>
      </c>
      <c r="AE96" s="9">
        <v>151.19999999999999</v>
      </c>
      <c r="AF96" s="9">
        <v>158.9</v>
      </c>
    </row>
    <row r="97" spans="1:32" ht="14.4" x14ac:dyDescent="0.3">
      <c r="A97" s="2" t="s">
        <v>34</v>
      </c>
      <c r="B97" s="2">
        <v>2021</v>
      </c>
      <c r="C97" s="2" t="s">
        <v>31</v>
      </c>
      <c r="D97" s="3">
        <v>44197</v>
      </c>
      <c r="E97" s="2" t="str">
        <f t="shared" si="2"/>
        <v>Post-Covid</v>
      </c>
      <c r="F97" s="9">
        <v>144.9</v>
      </c>
      <c r="G97" s="9">
        <v>190.1</v>
      </c>
      <c r="H97" s="9">
        <v>175.3</v>
      </c>
      <c r="I97" s="9">
        <v>154.1</v>
      </c>
      <c r="J97" s="9">
        <v>150.9</v>
      </c>
      <c r="K97" s="9">
        <v>149.6</v>
      </c>
      <c r="L97" s="9">
        <v>194.2</v>
      </c>
      <c r="M97" s="9">
        <v>160.4</v>
      </c>
      <c r="N97" s="9">
        <v>114.6</v>
      </c>
      <c r="O97" s="9">
        <v>164</v>
      </c>
      <c r="P97" s="9">
        <v>151.80000000000001</v>
      </c>
      <c r="Q97" s="9">
        <v>165.6</v>
      </c>
      <c r="R97" s="9">
        <v>161</v>
      </c>
      <c r="S97" s="9">
        <v>186.5</v>
      </c>
      <c r="T97" s="9">
        <v>155.5</v>
      </c>
      <c r="U97" s="9">
        <v>146.1</v>
      </c>
      <c r="V97" s="9">
        <v>154.19999999999999</v>
      </c>
      <c r="W97" s="9">
        <v>157.69999999999999</v>
      </c>
      <c r="X97" s="9">
        <v>147.9</v>
      </c>
      <c r="Y97" s="9">
        <v>150</v>
      </c>
      <c r="Z97" s="9">
        <v>159.30000000000001</v>
      </c>
      <c r="AA97" s="9">
        <v>141.9</v>
      </c>
      <c r="AB97" s="9">
        <v>149.6</v>
      </c>
      <c r="AC97" s="9">
        <v>159.19999999999999</v>
      </c>
      <c r="AD97" s="9">
        <v>156.80000000000001</v>
      </c>
      <c r="AE97" s="9">
        <v>151.9</v>
      </c>
      <c r="AF97" s="9">
        <v>157.30000000000001</v>
      </c>
    </row>
    <row r="98" spans="1:32" ht="14.4" x14ac:dyDescent="0.3">
      <c r="A98" s="2" t="s">
        <v>34</v>
      </c>
      <c r="B98" s="2">
        <v>2021</v>
      </c>
      <c r="C98" s="2" t="s">
        <v>35</v>
      </c>
      <c r="D98" s="3">
        <v>44228</v>
      </c>
      <c r="E98" s="2" t="str">
        <f t="shared" ref="E98:E125" si="3">IF(D98&lt;DATE(2020,3,1),"Pre-Covid","Post-Covid")</f>
        <v>Post-Covid</v>
      </c>
      <c r="F98" s="9">
        <v>144.30000000000001</v>
      </c>
      <c r="G98" s="9">
        <v>186.5</v>
      </c>
      <c r="H98" s="9">
        <v>168.7</v>
      </c>
      <c r="I98" s="9">
        <v>154.69999999999999</v>
      </c>
      <c r="J98" s="9">
        <v>158.69999999999999</v>
      </c>
      <c r="K98" s="9">
        <v>150.69999999999999</v>
      </c>
      <c r="L98" s="9">
        <v>160</v>
      </c>
      <c r="M98" s="9">
        <v>158.80000000000001</v>
      </c>
      <c r="N98" s="9">
        <v>112.8</v>
      </c>
      <c r="O98" s="9">
        <v>164.2</v>
      </c>
      <c r="P98" s="9">
        <v>155.5</v>
      </c>
      <c r="Q98" s="9">
        <v>167.5</v>
      </c>
      <c r="R98" s="9">
        <v>156.9</v>
      </c>
      <c r="S98" s="9">
        <v>188.3</v>
      </c>
      <c r="T98" s="9">
        <v>157.19999999999999</v>
      </c>
      <c r="U98" s="9">
        <v>147.4</v>
      </c>
      <c r="V98" s="9">
        <v>155.80000000000001</v>
      </c>
      <c r="W98" s="9">
        <v>159.80000000000001</v>
      </c>
      <c r="X98" s="9">
        <v>152.4</v>
      </c>
      <c r="Y98" s="9">
        <v>150.9</v>
      </c>
      <c r="Z98" s="9">
        <v>161.30000000000001</v>
      </c>
      <c r="AA98" s="9">
        <v>145.1</v>
      </c>
      <c r="AB98" s="9">
        <v>151.5</v>
      </c>
      <c r="AC98" s="9">
        <v>159.5</v>
      </c>
      <c r="AD98" s="9">
        <v>155.80000000000001</v>
      </c>
      <c r="AE98" s="9">
        <v>153.4</v>
      </c>
      <c r="AF98" s="9">
        <v>156.6</v>
      </c>
    </row>
    <row r="99" spans="1:32" ht="14.4" x14ac:dyDescent="0.3">
      <c r="A99" s="2" t="s">
        <v>34</v>
      </c>
      <c r="B99" s="2">
        <v>2021</v>
      </c>
      <c r="C99" s="2" t="s">
        <v>36</v>
      </c>
      <c r="D99" s="3">
        <v>44256</v>
      </c>
      <c r="E99" s="2" t="str">
        <f t="shared" si="3"/>
        <v>Post-Covid</v>
      </c>
      <c r="F99" s="9">
        <v>144.1</v>
      </c>
      <c r="G99" s="9">
        <v>192.2</v>
      </c>
      <c r="H99" s="9">
        <v>163.80000000000001</v>
      </c>
      <c r="I99" s="9">
        <v>154.9</v>
      </c>
      <c r="J99" s="9">
        <v>163.9</v>
      </c>
      <c r="K99" s="9">
        <v>153.69999999999999</v>
      </c>
      <c r="L99" s="9">
        <v>149.5</v>
      </c>
      <c r="M99" s="9">
        <v>159.80000000000001</v>
      </c>
      <c r="N99" s="9">
        <v>112.6</v>
      </c>
      <c r="O99" s="9">
        <v>163.5</v>
      </c>
      <c r="P99" s="9">
        <v>156.5</v>
      </c>
      <c r="Q99" s="9">
        <v>168.2</v>
      </c>
      <c r="R99" s="9">
        <v>156.69999999999999</v>
      </c>
      <c r="S99" s="9">
        <v>188.1</v>
      </c>
      <c r="T99" s="9">
        <v>157.80000000000001</v>
      </c>
      <c r="U99" s="9">
        <v>147.9</v>
      </c>
      <c r="V99" s="9">
        <v>156.4</v>
      </c>
      <c r="W99" s="9">
        <v>159.9</v>
      </c>
      <c r="X99" s="9">
        <v>155.5</v>
      </c>
      <c r="Y99" s="9">
        <v>151.19999999999999</v>
      </c>
      <c r="Z99" s="9">
        <v>161.69999999999999</v>
      </c>
      <c r="AA99" s="9">
        <v>146.19999999999999</v>
      </c>
      <c r="AB99" s="9">
        <v>152.6</v>
      </c>
      <c r="AC99" s="9">
        <v>160.19999999999999</v>
      </c>
      <c r="AD99" s="9">
        <v>153.80000000000001</v>
      </c>
      <c r="AE99" s="9">
        <v>153.80000000000001</v>
      </c>
      <c r="AF99" s="9">
        <v>156.80000000000001</v>
      </c>
    </row>
    <row r="100" spans="1:32" ht="14.4" x14ac:dyDescent="0.3">
      <c r="A100" s="2" t="s">
        <v>34</v>
      </c>
      <c r="B100" s="2">
        <v>2021</v>
      </c>
      <c r="C100" s="2" t="s">
        <v>37</v>
      </c>
      <c r="D100" s="3">
        <v>44287</v>
      </c>
      <c r="E100" s="2" t="str">
        <f t="shared" si="3"/>
        <v>Post-Covid</v>
      </c>
      <c r="F100" s="9">
        <v>144.30000000000001</v>
      </c>
      <c r="G100" s="9">
        <v>198</v>
      </c>
      <c r="H100" s="9">
        <v>164.6</v>
      </c>
      <c r="I100" s="9">
        <v>155.4</v>
      </c>
      <c r="J100" s="9">
        <v>170.1</v>
      </c>
      <c r="K100" s="9">
        <v>164.4</v>
      </c>
      <c r="L100" s="9">
        <v>144.1</v>
      </c>
      <c r="M100" s="9">
        <v>161.69999999999999</v>
      </c>
      <c r="N100" s="9">
        <v>113.1</v>
      </c>
      <c r="O100" s="9">
        <v>163.9</v>
      </c>
      <c r="P100" s="9">
        <v>157.6</v>
      </c>
      <c r="Q100" s="9">
        <v>168.9</v>
      </c>
      <c r="R100" s="9">
        <v>158</v>
      </c>
      <c r="S100" s="9">
        <v>188.8</v>
      </c>
      <c r="T100" s="9">
        <v>158.80000000000001</v>
      </c>
      <c r="U100" s="9">
        <v>148.5</v>
      </c>
      <c r="V100" s="9">
        <v>157.30000000000001</v>
      </c>
      <c r="W100" s="9">
        <v>161.4</v>
      </c>
      <c r="X100" s="9">
        <v>155.6</v>
      </c>
      <c r="Y100" s="9">
        <v>151.80000000000001</v>
      </c>
      <c r="Z100" s="9">
        <v>162.30000000000001</v>
      </c>
      <c r="AA100" s="9">
        <v>146.6</v>
      </c>
      <c r="AB100" s="9">
        <v>153.19999999999999</v>
      </c>
      <c r="AC100" s="9">
        <v>160.30000000000001</v>
      </c>
      <c r="AD100" s="9">
        <v>155.4</v>
      </c>
      <c r="AE100" s="9">
        <v>154.4</v>
      </c>
      <c r="AF100" s="9">
        <v>157.80000000000001</v>
      </c>
    </row>
    <row r="101" spans="1:32" ht="14.4" x14ac:dyDescent="0.3">
      <c r="A101" s="2" t="s">
        <v>34</v>
      </c>
      <c r="B101" s="2">
        <v>2021</v>
      </c>
      <c r="C101" s="2" t="s">
        <v>38</v>
      </c>
      <c r="D101" s="3">
        <v>44317</v>
      </c>
      <c r="E101" s="2" t="str">
        <f t="shared" si="3"/>
        <v>Post-Covid</v>
      </c>
      <c r="F101" s="9">
        <v>146.30000000000001</v>
      </c>
      <c r="G101" s="9">
        <v>200.5</v>
      </c>
      <c r="H101" s="9">
        <v>170.3</v>
      </c>
      <c r="I101" s="9">
        <v>156.1</v>
      </c>
      <c r="J101" s="9">
        <v>178.7</v>
      </c>
      <c r="K101" s="9">
        <v>167.1</v>
      </c>
      <c r="L101" s="9">
        <v>147.9</v>
      </c>
      <c r="M101" s="9">
        <v>165.4</v>
      </c>
      <c r="N101" s="9">
        <v>114.8</v>
      </c>
      <c r="O101" s="9">
        <v>168.2</v>
      </c>
      <c r="P101" s="9">
        <v>159.30000000000001</v>
      </c>
      <c r="Q101" s="9">
        <v>170.4</v>
      </c>
      <c r="R101" s="9">
        <v>160.69999999999999</v>
      </c>
      <c r="S101" s="9">
        <v>191.9</v>
      </c>
      <c r="T101" s="9">
        <v>161.80000000000001</v>
      </c>
      <c r="U101" s="9">
        <v>152.1</v>
      </c>
      <c r="V101" s="9">
        <v>160.4</v>
      </c>
      <c r="W101" s="9">
        <v>161.6</v>
      </c>
      <c r="X101" s="9">
        <v>159.4</v>
      </c>
      <c r="Y101" s="9">
        <v>154.69999999999999</v>
      </c>
      <c r="Z101" s="9">
        <v>165.8</v>
      </c>
      <c r="AA101" s="9">
        <v>148.9</v>
      </c>
      <c r="AB101" s="9">
        <v>155.80000000000001</v>
      </c>
      <c r="AC101" s="9">
        <v>161.19999999999999</v>
      </c>
      <c r="AD101" s="9">
        <v>158.6</v>
      </c>
      <c r="AE101" s="9">
        <v>156.80000000000001</v>
      </c>
      <c r="AF101" s="9">
        <v>160.4</v>
      </c>
    </row>
    <row r="102" spans="1:32" ht="14.4" x14ac:dyDescent="0.3">
      <c r="A102" s="2" t="s">
        <v>34</v>
      </c>
      <c r="B102" s="2">
        <v>2021</v>
      </c>
      <c r="C102" s="2" t="s">
        <v>39</v>
      </c>
      <c r="D102" s="3">
        <v>44348</v>
      </c>
      <c r="E102" s="2" t="str">
        <f t="shared" si="3"/>
        <v>Post-Covid</v>
      </c>
      <c r="F102" s="9">
        <v>146.69999999999999</v>
      </c>
      <c r="G102" s="9">
        <v>202</v>
      </c>
      <c r="H102" s="9">
        <v>180.7</v>
      </c>
      <c r="I102" s="9">
        <v>156.19999999999999</v>
      </c>
      <c r="J102" s="9">
        <v>183.7</v>
      </c>
      <c r="K102" s="9">
        <v>164.6</v>
      </c>
      <c r="L102" s="9">
        <v>155.4</v>
      </c>
      <c r="M102" s="9">
        <v>166</v>
      </c>
      <c r="N102" s="9">
        <v>115.1</v>
      </c>
      <c r="O102" s="9">
        <v>168.5</v>
      </c>
      <c r="P102" s="9">
        <v>160</v>
      </c>
      <c r="Q102" s="9">
        <v>172.4</v>
      </c>
      <c r="R102" s="9">
        <v>162.6</v>
      </c>
      <c r="S102" s="9">
        <v>190.8</v>
      </c>
      <c r="T102" s="9">
        <v>162.19999999999999</v>
      </c>
      <c r="U102" s="9">
        <v>151.80000000000001</v>
      </c>
      <c r="V102" s="9">
        <v>160.69999999999999</v>
      </c>
      <c r="W102" s="9">
        <v>160.5</v>
      </c>
      <c r="X102" s="9">
        <v>159.80000000000001</v>
      </c>
      <c r="Y102" s="9">
        <v>154.80000000000001</v>
      </c>
      <c r="Z102" s="9">
        <v>166.3</v>
      </c>
      <c r="AA102" s="9">
        <v>150.69999999999999</v>
      </c>
      <c r="AB102" s="9">
        <v>154.9</v>
      </c>
      <c r="AC102" s="9">
        <v>161.69999999999999</v>
      </c>
      <c r="AD102" s="9">
        <v>158.80000000000001</v>
      </c>
      <c r="AE102" s="9">
        <v>157.6</v>
      </c>
      <c r="AF102" s="9">
        <v>161.30000000000001</v>
      </c>
    </row>
    <row r="103" spans="1:32" ht="14.4" x14ac:dyDescent="0.3">
      <c r="A103" s="2" t="s">
        <v>34</v>
      </c>
      <c r="B103" s="2">
        <v>2021</v>
      </c>
      <c r="C103" s="2" t="s">
        <v>40</v>
      </c>
      <c r="D103" s="3">
        <v>44378</v>
      </c>
      <c r="E103" s="2" t="str">
        <f t="shared" si="3"/>
        <v>Post-Covid</v>
      </c>
      <c r="F103" s="9">
        <v>146.4</v>
      </c>
      <c r="G103" s="9">
        <v>206.8</v>
      </c>
      <c r="H103" s="9">
        <v>182.2</v>
      </c>
      <c r="I103" s="9">
        <v>157.5</v>
      </c>
      <c r="J103" s="9">
        <v>182.1</v>
      </c>
      <c r="K103" s="9">
        <v>163.9</v>
      </c>
      <c r="L103" s="9">
        <v>164.2</v>
      </c>
      <c r="M103" s="9">
        <v>164</v>
      </c>
      <c r="N103" s="9">
        <v>114.5</v>
      </c>
      <c r="O103" s="9">
        <v>168.3</v>
      </c>
      <c r="P103" s="9">
        <v>160.9</v>
      </c>
      <c r="Q103" s="9">
        <v>172.2</v>
      </c>
      <c r="R103" s="9">
        <v>164</v>
      </c>
      <c r="S103" s="9">
        <v>191.2</v>
      </c>
      <c r="T103" s="9">
        <v>162.80000000000001</v>
      </c>
      <c r="U103" s="9">
        <v>153.1</v>
      </c>
      <c r="V103" s="9">
        <v>161.4</v>
      </c>
      <c r="W103" s="9">
        <v>161.5</v>
      </c>
      <c r="X103" s="9">
        <v>160.69999999999999</v>
      </c>
      <c r="Y103" s="9">
        <v>155.80000000000001</v>
      </c>
      <c r="Z103" s="9">
        <v>167</v>
      </c>
      <c r="AA103" s="9">
        <v>153.1</v>
      </c>
      <c r="AB103" s="9">
        <v>155.30000000000001</v>
      </c>
      <c r="AC103" s="9">
        <v>163.19999999999999</v>
      </c>
      <c r="AD103" s="9">
        <v>160.1</v>
      </c>
      <c r="AE103" s="9">
        <v>159</v>
      </c>
      <c r="AF103" s="9">
        <v>162.5</v>
      </c>
    </row>
    <row r="104" spans="1:32" ht="14.4" x14ac:dyDescent="0.3">
      <c r="A104" s="2" t="s">
        <v>34</v>
      </c>
      <c r="B104" s="2">
        <v>2021</v>
      </c>
      <c r="C104" s="2" t="s">
        <v>41</v>
      </c>
      <c r="D104" s="3">
        <v>44409</v>
      </c>
      <c r="E104" s="2" t="str">
        <f t="shared" si="3"/>
        <v>Post-Covid</v>
      </c>
      <c r="F104" s="9">
        <v>146.6</v>
      </c>
      <c r="G104" s="9">
        <v>204</v>
      </c>
      <c r="H104" s="9">
        <v>172.8</v>
      </c>
      <c r="I104" s="9">
        <v>158.4</v>
      </c>
      <c r="J104" s="9">
        <v>188</v>
      </c>
      <c r="K104" s="9">
        <v>156.80000000000001</v>
      </c>
      <c r="L104" s="9">
        <v>162.19999999999999</v>
      </c>
      <c r="M104" s="9">
        <v>164.1</v>
      </c>
      <c r="N104" s="9">
        <v>119.7</v>
      </c>
      <c r="O104" s="9">
        <v>168.8</v>
      </c>
      <c r="P104" s="9">
        <v>162.69999999999999</v>
      </c>
      <c r="Q104" s="9">
        <v>173.9</v>
      </c>
      <c r="R104" s="9">
        <v>164</v>
      </c>
      <c r="S104" s="9">
        <v>192.1</v>
      </c>
      <c r="T104" s="9">
        <v>164.5</v>
      </c>
      <c r="U104" s="9">
        <v>155.30000000000001</v>
      </c>
      <c r="V104" s="9">
        <v>163.19999999999999</v>
      </c>
      <c r="W104" s="9">
        <v>162.1</v>
      </c>
      <c r="X104" s="9">
        <v>162.6</v>
      </c>
      <c r="Y104" s="9">
        <v>157.5</v>
      </c>
      <c r="Z104" s="9">
        <v>168.4</v>
      </c>
      <c r="AA104" s="9">
        <v>154</v>
      </c>
      <c r="AB104" s="9">
        <v>157.6</v>
      </c>
      <c r="AC104" s="9">
        <v>163.80000000000001</v>
      </c>
      <c r="AD104" s="9">
        <v>160</v>
      </c>
      <c r="AE104" s="9">
        <v>160</v>
      </c>
      <c r="AF104" s="9">
        <v>163.19999999999999</v>
      </c>
    </row>
    <row r="105" spans="1:32" ht="14.4" x14ac:dyDescent="0.3">
      <c r="A105" s="2" t="s">
        <v>34</v>
      </c>
      <c r="B105" s="2">
        <v>2021</v>
      </c>
      <c r="C105" s="2" t="s">
        <v>42</v>
      </c>
      <c r="D105" s="3">
        <v>44440</v>
      </c>
      <c r="E105" s="2" t="str">
        <f t="shared" si="3"/>
        <v>Post-Covid</v>
      </c>
      <c r="F105" s="9">
        <v>146.6</v>
      </c>
      <c r="G105" s="9">
        <v>204</v>
      </c>
      <c r="H105" s="9">
        <v>172.8</v>
      </c>
      <c r="I105" s="9">
        <v>158.4</v>
      </c>
      <c r="J105" s="9">
        <v>188</v>
      </c>
      <c r="K105" s="9">
        <v>156.69999999999999</v>
      </c>
      <c r="L105" s="9">
        <v>162.30000000000001</v>
      </c>
      <c r="M105" s="9">
        <v>164.1</v>
      </c>
      <c r="N105" s="9">
        <v>119.7</v>
      </c>
      <c r="O105" s="9">
        <v>168.8</v>
      </c>
      <c r="P105" s="9">
        <v>162.69999999999999</v>
      </c>
      <c r="Q105" s="9">
        <v>173.9</v>
      </c>
      <c r="R105" s="9">
        <v>164</v>
      </c>
      <c r="S105" s="9">
        <v>192.1</v>
      </c>
      <c r="T105" s="9">
        <v>164.6</v>
      </c>
      <c r="U105" s="9">
        <v>155.30000000000001</v>
      </c>
      <c r="V105" s="9">
        <v>163.30000000000001</v>
      </c>
      <c r="W105" s="9">
        <v>162.1</v>
      </c>
      <c r="X105" s="9">
        <v>162.6</v>
      </c>
      <c r="Y105" s="9">
        <v>157.5</v>
      </c>
      <c r="Z105" s="9">
        <v>168.4</v>
      </c>
      <c r="AA105" s="9">
        <v>154</v>
      </c>
      <c r="AB105" s="9">
        <v>157.69999999999999</v>
      </c>
      <c r="AC105" s="9">
        <v>163.69999999999999</v>
      </c>
      <c r="AD105" s="9">
        <v>160</v>
      </c>
      <c r="AE105" s="9">
        <v>160</v>
      </c>
      <c r="AF105" s="9">
        <v>163.19999999999999</v>
      </c>
    </row>
    <row r="106" spans="1:32" ht="14.4" x14ac:dyDescent="0.3">
      <c r="A106" s="2" t="s">
        <v>34</v>
      </c>
      <c r="B106" s="2">
        <v>2021</v>
      </c>
      <c r="C106" s="2" t="s">
        <v>43</v>
      </c>
      <c r="D106" s="3">
        <v>44470</v>
      </c>
      <c r="E106" s="2" t="str">
        <f t="shared" si="3"/>
        <v>Post-Covid</v>
      </c>
      <c r="F106" s="9">
        <v>147.4</v>
      </c>
      <c r="G106" s="9">
        <v>204.6</v>
      </c>
      <c r="H106" s="9">
        <v>171.2</v>
      </c>
      <c r="I106" s="9">
        <v>158.69999999999999</v>
      </c>
      <c r="J106" s="9">
        <v>190.6</v>
      </c>
      <c r="K106" s="9">
        <v>155.69999999999999</v>
      </c>
      <c r="L106" s="9">
        <v>185.3</v>
      </c>
      <c r="M106" s="9">
        <v>165.2</v>
      </c>
      <c r="N106" s="9">
        <v>121.9</v>
      </c>
      <c r="O106" s="9">
        <v>169.3</v>
      </c>
      <c r="P106" s="9">
        <v>163.19999999999999</v>
      </c>
      <c r="Q106" s="9">
        <v>174.7</v>
      </c>
      <c r="R106" s="9">
        <v>167.7</v>
      </c>
      <c r="S106" s="9">
        <v>192.7</v>
      </c>
      <c r="T106" s="9">
        <v>165.7</v>
      </c>
      <c r="U106" s="9">
        <v>156.30000000000001</v>
      </c>
      <c r="V106" s="9">
        <v>164.3</v>
      </c>
      <c r="W106" s="9">
        <v>163.6</v>
      </c>
      <c r="X106" s="9">
        <v>164.2</v>
      </c>
      <c r="Y106" s="9">
        <v>158.4</v>
      </c>
      <c r="Z106" s="9">
        <v>169.1</v>
      </c>
      <c r="AA106" s="9">
        <v>155.69999999999999</v>
      </c>
      <c r="AB106" s="9">
        <v>158.6</v>
      </c>
      <c r="AC106" s="9">
        <v>163.9</v>
      </c>
      <c r="AD106" s="9">
        <v>160.80000000000001</v>
      </c>
      <c r="AE106" s="9">
        <v>161</v>
      </c>
      <c r="AF106" s="9">
        <v>165.5</v>
      </c>
    </row>
    <row r="107" spans="1:32" ht="14.4" x14ac:dyDescent="0.3">
      <c r="A107" s="2" t="s">
        <v>34</v>
      </c>
      <c r="B107" s="2">
        <v>2021</v>
      </c>
      <c r="C107" s="2" t="s">
        <v>44</v>
      </c>
      <c r="D107" s="3">
        <v>44501</v>
      </c>
      <c r="E107" s="2" t="str">
        <f t="shared" si="3"/>
        <v>Post-Covid</v>
      </c>
      <c r="F107" s="9">
        <v>148.19999999999999</v>
      </c>
      <c r="G107" s="9">
        <v>201.6</v>
      </c>
      <c r="H107" s="9">
        <v>173</v>
      </c>
      <c r="I107" s="9">
        <v>159.30000000000001</v>
      </c>
      <c r="J107" s="9">
        <v>190.1</v>
      </c>
      <c r="K107" s="9">
        <v>156.5</v>
      </c>
      <c r="L107" s="9">
        <v>199.2</v>
      </c>
      <c r="M107" s="9">
        <v>165.3</v>
      </c>
      <c r="N107" s="9">
        <v>122.4</v>
      </c>
      <c r="O107" s="9">
        <v>169.6</v>
      </c>
      <c r="P107" s="9">
        <v>163.69999999999999</v>
      </c>
      <c r="Q107" s="9">
        <v>175.5</v>
      </c>
      <c r="R107" s="9">
        <v>169.7</v>
      </c>
      <c r="S107" s="9">
        <v>192.9</v>
      </c>
      <c r="T107" s="9">
        <v>167.2</v>
      </c>
      <c r="U107" s="9">
        <v>157.4</v>
      </c>
      <c r="V107" s="9">
        <v>165.8</v>
      </c>
      <c r="W107" s="9">
        <v>164.2</v>
      </c>
      <c r="X107" s="9">
        <v>163.9</v>
      </c>
      <c r="Y107" s="9">
        <v>159.30000000000001</v>
      </c>
      <c r="Z107" s="9">
        <v>169.9</v>
      </c>
      <c r="AA107" s="9">
        <v>154.80000000000001</v>
      </c>
      <c r="AB107" s="9">
        <v>159.80000000000001</v>
      </c>
      <c r="AC107" s="9">
        <v>164.3</v>
      </c>
      <c r="AD107" s="9">
        <v>162.19999999999999</v>
      </c>
      <c r="AE107" s="9">
        <v>161.4</v>
      </c>
      <c r="AF107" s="9">
        <v>166.7</v>
      </c>
    </row>
    <row r="108" spans="1:32" ht="14.4" x14ac:dyDescent="0.3">
      <c r="A108" s="2" t="s">
        <v>34</v>
      </c>
      <c r="B108" s="2">
        <v>2021</v>
      </c>
      <c r="C108" s="2" t="s">
        <v>45</v>
      </c>
      <c r="D108" s="3">
        <v>44531</v>
      </c>
      <c r="E108" s="2" t="str">
        <f t="shared" si="3"/>
        <v>Post-Covid</v>
      </c>
      <c r="F108" s="9">
        <v>148.69999999999999</v>
      </c>
      <c r="G108" s="9">
        <v>198.8</v>
      </c>
      <c r="H108" s="9">
        <v>177.9</v>
      </c>
      <c r="I108" s="9">
        <v>159.9</v>
      </c>
      <c r="J108" s="9">
        <v>187.6</v>
      </c>
      <c r="K108" s="9">
        <v>154.9</v>
      </c>
      <c r="L108" s="9">
        <v>188.3</v>
      </c>
      <c r="M108" s="9">
        <v>164.4</v>
      </c>
      <c r="N108" s="9">
        <v>121</v>
      </c>
      <c r="O108" s="9">
        <v>170.5</v>
      </c>
      <c r="P108" s="9">
        <v>164.2</v>
      </c>
      <c r="Q108" s="9">
        <v>176.5</v>
      </c>
      <c r="R108" s="9">
        <v>168.2</v>
      </c>
      <c r="S108" s="9">
        <v>192.4</v>
      </c>
      <c r="T108" s="9">
        <v>168.5</v>
      </c>
      <c r="U108" s="9">
        <v>158.69999999999999</v>
      </c>
      <c r="V108" s="9">
        <v>167</v>
      </c>
      <c r="W108" s="9">
        <v>163.4</v>
      </c>
      <c r="X108" s="9">
        <v>164.1</v>
      </c>
      <c r="Y108" s="9">
        <v>160.19999999999999</v>
      </c>
      <c r="Z108" s="9">
        <v>170.6</v>
      </c>
      <c r="AA108" s="9">
        <v>155.69999999999999</v>
      </c>
      <c r="AB108" s="9">
        <v>160.6</v>
      </c>
      <c r="AC108" s="9">
        <v>164.4</v>
      </c>
      <c r="AD108" s="9">
        <v>162.6</v>
      </c>
      <c r="AE108" s="9">
        <v>162</v>
      </c>
      <c r="AF108" s="9">
        <v>166.2</v>
      </c>
    </row>
    <row r="109" spans="1:32" ht="14.4" x14ac:dyDescent="0.3">
      <c r="A109" s="2" t="s">
        <v>34</v>
      </c>
      <c r="B109" s="2">
        <v>2022</v>
      </c>
      <c r="C109" s="2" t="s">
        <v>31</v>
      </c>
      <c r="D109" s="3">
        <v>44562</v>
      </c>
      <c r="E109" s="2" t="str">
        <f t="shared" si="3"/>
        <v>Post-Covid</v>
      </c>
      <c r="F109" s="9">
        <v>149.5</v>
      </c>
      <c r="G109" s="9">
        <v>198.7</v>
      </c>
      <c r="H109" s="9">
        <v>178.8</v>
      </c>
      <c r="I109" s="9">
        <v>160.5</v>
      </c>
      <c r="J109" s="9">
        <v>184.7</v>
      </c>
      <c r="K109" s="9">
        <v>153.69999999999999</v>
      </c>
      <c r="L109" s="9">
        <v>174.3</v>
      </c>
      <c r="M109" s="9">
        <v>163.9</v>
      </c>
      <c r="N109" s="9">
        <v>120</v>
      </c>
      <c r="O109" s="9">
        <v>172.1</v>
      </c>
      <c r="P109" s="9">
        <v>164.3</v>
      </c>
      <c r="Q109" s="9">
        <v>177.3</v>
      </c>
      <c r="R109" s="9">
        <v>166.4</v>
      </c>
      <c r="S109" s="9">
        <v>192.2</v>
      </c>
      <c r="T109" s="9">
        <v>169.9</v>
      </c>
      <c r="U109" s="9">
        <v>160.69999999999999</v>
      </c>
      <c r="V109" s="9">
        <v>168.5</v>
      </c>
      <c r="W109" s="9">
        <v>164.5</v>
      </c>
      <c r="X109" s="9">
        <v>164.2</v>
      </c>
      <c r="Y109" s="9">
        <v>161.1</v>
      </c>
      <c r="Z109" s="9">
        <v>171.4</v>
      </c>
      <c r="AA109" s="9">
        <v>156.5</v>
      </c>
      <c r="AB109" s="9">
        <v>161.19999999999999</v>
      </c>
      <c r="AC109" s="9">
        <v>164.7</v>
      </c>
      <c r="AD109" s="9">
        <v>163</v>
      </c>
      <c r="AE109" s="9">
        <v>162.69999999999999</v>
      </c>
      <c r="AF109" s="9">
        <v>165.7</v>
      </c>
    </row>
    <row r="110" spans="1:32" ht="14.4" x14ac:dyDescent="0.3">
      <c r="A110" s="2" t="s">
        <v>34</v>
      </c>
      <c r="B110" s="2">
        <v>2022</v>
      </c>
      <c r="C110" s="2" t="s">
        <v>35</v>
      </c>
      <c r="D110" s="3">
        <v>44593</v>
      </c>
      <c r="E110" s="2" t="str">
        <f t="shared" si="3"/>
        <v>Post-Covid</v>
      </c>
      <c r="F110" s="9">
        <v>150</v>
      </c>
      <c r="G110" s="9">
        <v>200.6</v>
      </c>
      <c r="H110" s="9">
        <v>175.8</v>
      </c>
      <c r="I110" s="9">
        <v>160.69999999999999</v>
      </c>
      <c r="J110" s="9">
        <v>184.9</v>
      </c>
      <c r="K110" s="9">
        <v>153.69999999999999</v>
      </c>
      <c r="L110" s="9">
        <v>169.7</v>
      </c>
      <c r="M110" s="9">
        <v>163.69999999999999</v>
      </c>
      <c r="N110" s="9">
        <v>118.9</v>
      </c>
      <c r="O110" s="9">
        <v>174.3</v>
      </c>
      <c r="P110" s="9">
        <v>164.7</v>
      </c>
      <c r="Q110" s="9">
        <v>178</v>
      </c>
      <c r="R110" s="9">
        <v>166.2</v>
      </c>
      <c r="S110" s="9">
        <v>192.8</v>
      </c>
      <c r="T110" s="9">
        <v>170.8</v>
      </c>
      <c r="U110" s="9">
        <v>162.4</v>
      </c>
      <c r="V110" s="9">
        <v>169.6</v>
      </c>
      <c r="W110" s="9">
        <v>165.5</v>
      </c>
      <c r="X110" s="9">
        <v>165.7</v>
      </c>
      <c r="Y110" s="9">
        <v>161.80000000000001</v>
      </c>
      <c r="Z110" s="9">
        <v>172.2</v>
      </c>
      <c r="AA110" s="9">
        <v>156.9</v>
      </c>
      <c r="AB110" s="9">
        <v>162.1</v>
      </c>
      <c r="AC110" s="9">
        <v>165.4</v>
      </c>
      <c r="AD110" s="9">
        <v>164.4</v>
      </c>
      <c r="AE110" s="9">
        <v>163.5</v>
      </c>
      <c r="AF110" s="9">
        <v>166.1</v>
      </c>
    </row>
    <row r="111" spans="1:32" ht="14.4" x14ac:dyDescent="0.3">
      <c r="A111" s="2" t="s">
        <v>34</v>
      </c>
      <c r="B111" s="2">
        <v>2022</v>
      </c>
      <c r="C111" s="2" t="s">
        <v>36</v>
      </c>
      <c r="D111" s="3">
        <v>44621</v>
      </c>
      <c r="E111" s="2" t="str">
        <f t="shared" si="3"/>
        <v>Post-Covid</v>
      </c>
      <c r="F111" s="9">
        <v>151.30000000000001</v>
      </c>
      <c r="G111" s="9">
        <v>210.7</v>
      </c>
      <c r="H111" s="9">
        <v>167.8</v>
      </c>
      <c r="I111" s="9">
        <v>162.19999999999999</v>
      </c>
      <c r="J111" s="9">
        <v>194.6</v>
      </c>
      <c r="K111" s="9">
        <v>157.6</v>
      </c>
      <c r="L111" s="9">
        <v>166.9</v>
      </c>
      <c r="M111" s="9">
        <v>163.9</v>
      </c>
      <c r="N111" s="9">
        <v>118.8</v>
      </c>
      <c r="O111" s="9">
        <v>177.4</v>
      </c>
      <c r="P111" s="9">
        <v>165.3</v>
      </c>
      <c r="Q111" s="9">
        <v>179.3</v>
      </c>
      <c r="R111" s="9">
        <v>168.4</v>
      </c>
      <c r="S111" s="9">
        <v>193.7</v>
      </c>
      <c r="T111" s="9">
        <v>172.1</v>
      </c>
      <c r="U111" s="9">
        <v>164.6</v>
      </c>
      <c r="V111" s="9">
        <v>171.1</v>
      </c>
      <c r="W111" s="9">
        <v>165.3</v>
      </c>
      <c r="X111" s="9">
        <v>167.2</v>
      </c>
      <c r="Y111" s="9">
        <v>162.80000000000001</v>
      </c>
      <c r="Z111" s="9">
        <v>173</v>
      </c>
      <c r="AA111" s="9">
        <v>157.9</v>
      </c>
      <c r="AB111" s="9">
        <v>163.30000000000001</v>
      </c>
      <c r="AC111" s="9">
        <v>166</v>
      </c>
      <c r="AD111" s="9">
        <v>167.2</v>
      </c>
      <c r="AE111" s="9">
        <v>164.6</v>
      </c>
      <c r="AF111" s="9">
        <v>167.7</v>
      </c>
    </row>
    <row r="112" spans="1:32" ht="14.4" x14ac:dyDescent="0.3">
      <c r="A112" s="2" t="s">
        <v>34</v>
      </c>
      <c r="B112" s="2">
        <v>2022</v>
      </c>
      <c r="C112" s="2" t="s">
        <v>37</v>
      </c>
      <c r="D112" s="3">
        <v>44652</v>
      </c>
      <c r="E112" s="2" t="str">
        <f t="shared" si="3"/>
        <v>Post-Covid</v>
      </c>
      <c r="F112" s="9">
        <v>152.9</v>
      </c>
      <c r="G112" s="9">
        <v>211.8</v>
      </c>
      <c r="H112" s="9">
        <v>164.5</v>
      </c>
      <c r="I112" s="9">
        <v>163.9</v>
      </c>
      <c r="J112" s="9">
        <v>199.5</v>
      </c>
      <c r="K112" s="9">
        <v>172.6</v>
      </c>
      <c r="L112" s="9">
        <v>166.2</v>
      </c>
      <c r="M112" s="9">
        <v>164.7</v>
      </c>
      <c r="N112" s="9">
        <v>119</v>
      </c>
      <c r="O112" s="9">
        <v>181.3</v>
      </c>
      <c r="P112" s="9">
        <v>166.2</v>
      </c>
      <c r="Q112" s="9">
        <v>180.9</v>
      </c>
      <c r="R112" s="9">
        <v>170.8</v>
      </c>
      <c r="S112" s="9">
        <v>193.9</v>
      </c>
      <c r="T112" s="9">
        <v>173.9</v>
      </c>
      <c r="U112" s="9">
        <v>166.5</v>
      </c>
      <c r="V112" s="9">
        <v>172.8</v>
      </c>
      <c r="W112" s="9">
        <v>167</v>
      </c>
      <c r="X112" s="9">
        <v>172.2</v>
      </c>
      <c r="Y112" s="9">
        <v>164</v>
      </c>
      <c r="Z112" s="9">
        <v>174</v>
      </c>
      <c r="AA112" s="9">
        <v>162.6</v>
      </c>
      <c r="AB112" s="9">
        <v>164.4</v>
      </c>
      <c r="AC112" s="9">
        <v>166.9</v>
      </c>
      <c r="AD112" s="9">
        <v>168.8</v>
      </c>
      <c r="AE112" s="9">
        <v>166.8</v>
      </c>
      <c r="AF112" s="9">
        <v>170.1</v>
      </c>
    </row>
    <row r="113" spans="1:32" ht="14.4" x14ac:dyDescent="0.3">
      <c r="A113" s="2" t="s">
        <v>34</v>
      </c>
      <c r="B113" s="2">
        <v>2022</v>
      </c>
      <c r="C113" s="2" t="s">
        <v>38</v>
      </c>
      <c r="D113" s="3">
        <v>44682</v>
      </c>
      <c r="E113" s="2" t="str">
        <f t="shared" si="3"/>
        <v>Post-Covid</v>
      </c>
      <c r="F113" s="9">
        <v>154.1</v>
      </c>
      <c r="G113" s="9">
        <v>217</v>
      </c>
      <c r="H113" s="9">
        <v>162.4</v>
      </c>
      <c r="I113" s="9">
        <v>164.9</v>
      </c>
      <c r="J113" s="9">
        <v>202.4</v>
      </c>
      <c r="K113" s="9">
        <v>171</v>
      </c>
      <c r="L113" s="9">
        <v>174.9</v>
      </c>
      <c r="M113" s="9">
        <v>164.7</v>
      </c>
      <c r="N113" s="9">
        <v>119.7</v>
      </c>
      <c r="O113" s="9">
        <v>184.9</v>
      </c>
      <c r="P113" s="9">
        <v>167.1</v>
      </c>
      <c r="Q113" s="9">
        <v>182.5</v>
      </c>
      <c r="R113" s="9">
        <v>173.3</v>
      </c>
      <c r="S113" s="9">
        <v>194.1</v>
      </c>
      <c r="T113" s="9">
        <v>175.6</v>
      </c>
      <c r="U113" s="9">
        <v>168.4</v>
      </c>
      <c r="V113" s="9">
        <v>174.6</v>
      </c>
      <c r="W113" s="9">
        <v>167.5</v>
      </c>
      <c r="X113" s="9">
        <v>174.6</v>
      </c>
      <c r="Y113" s="9">
        <v>165.2</v>
      </c>
      <c r="Z113" s="9">
        <v>174.8</v>
      </c>
      <c r="AA113" s="9">
        <v>163</v>
      </c>
      <c r="AB113" s="9">
        <v>165.1</v>
      </c>
      <c r="AC113" s="9">
        <v>167.9</v>
      </c>
      <c r="AD113" s="9">
        <v>168.4</v>
      </c>
      <c r="AE113" s="9">
        <v>167.5</v>
      </c>
      <c r="AF113" s="9">
        <v>171.7</v>
      </c>
    </row>
    <row r="114" spans="1:32" ht="14.4" x14ac:dyDescent="0.3">
      <c r="A114" s="2" t="s">
        <v>34</v>
      </c>
      <c r="B114" s="2">
        <v>2022</v>
      </c>
      <c r="C114" s="2" t="s">
        <v>39</v>
      </c>
      <c r="D114" s="3">
        <v>44713</v>
      </c>
      <c r="E114" s="2" t="str">
        <f t="shared" si="3"/>
        <v>Post-Covid</v>
      </c>
      <c r="F114" s="9">
        <v>155</v>
      </c>
      <c r="G114" s="9">
        <v>219.4</v>
      </c>
      <c r="H114" s="9">
        <v>170.8</v>
      </c>
      <c r="I114" s="9">
        <v>165.8</v>
      </c>
      <c r="J114" s="9">
        <v>200.9</v>
      </c>
      <c r="K114" s="9">
        <v>169.7</v>
      </c>
      <c r="L114" s="9">
        <v>182.3</v>
      </c>
      <c r="M114" s="9">
        <v>164.3</v>
      </c>
      <c r="N114" s="9">
        <v>119.9</v>
      </c>
      <c r="O114" s="9">
        <v>187.1</v>
      </c>
      <c r="P114" s="9">
        <v>167.9</v>
      </c>
      <c r="Q114" s="9">
        <v>183.9</v>
      </c>
      <c r="R114" s="9">
        <v>174.9</v>
      </c>
      <c r="S114" s="9">
        <v>194.3</v>
      </c>
      <c r="T114" s="9">
        <v>177.1</v>
      </c>
      <c r="U114" s="9">
        <v>169.9</v>
      </c>
      <c r="V114" s="9">
        <v>176</v>
      </c>
      <c r="W114" s="9">
        <v>166.8</v>
      </c>
      <c r="X114" s="9">
        <v>176</v>
      </c>
      <c r="Y114" s="9">
        <v>166.4</v>
      </c>
      <c r="Z114" s="9">
        <v>175.4</v>
      </c>
      <c r="AA114" s="9">
        <v>161.1</v>
      </c>
      <c r="AB114" s="9">
        <v>165.8</v>
      </c>
      <c r="AC114" s="9">
        <v>169</v>
      </c>
      <c r="AD114" s="9">
        <v>169.4</v>
      </c>
      <c r="AE114" s="9">
        <v>167.5</v>
      </c>
      <c r="AF114" s="9">
        <v>172.6</v>
      </c>
    </row>
    <row r="115" spans="1:32" ht="14.4" x14ac:dyDescent="0.3">
      <c r="A115" s="2" t="s">
        <v>34</v>
      </c>
      <c r="B115" s="2">
        <v>2022</v>
      </c>
      <c r="C115" s="2" t="s">
        <v>40</v>
      </c>
      <c r="D115" s="3">
        <v>44743</v>
      </c>
      <c r="E115" s="2" t="str">
        <f t="shared" si="3"/>
        <v>Post-Covid</v>
      </c>
      <c r="F115" s="9">
        <v>156.5</v>
      </c>
      <c r="G115" s="9">
        <v>213</v>
      </c>
      <c r="H115" s="9">
        <v>175.2</v>
      </c>
      <c r="I115" s="9">
        <v>166.6</v>
      </c>
      <c r="J115" s="9">
        <v>195.8</v>
      </c>
      <c r="K115" s="9">
        <v>174.2</v>
      </c>
      <c r="L115" s="9">
        <v>182.1</v>
      </c>
      <c r="M115" s="9">
        <v>164.3</v>
      </c>
      <c r="N115" s="9">
        <v>120</v>
      </c>
      <c r="O115" s="9">
        <v>190</v>
      </c>
      <c r="P115" s="9">
        <v>168.4</v>
      </c>
      <c r="Q115" s="9">
        <v>185.2</v>
      </c>
      <c r="R115" s="9">
        <v>175</v>
      </c>
      <c r="S115" s="9">
        <v>194.6</v>
      </c>
      <c r="T115" s="9">
        <v>178.3</v>
      </c>
      <c r="U115" s="9">
        <v>171.3</v>
      </c>
      <c r="V115" s="9">
        <v>177.3</v>
      </c>
      <c r="W115" s="9">
        <v>167.8</v>
      </c>
      <c r="X115" s="9">
        <v>179.6</v>
      </c>
      <c r="Y115" s="9">
        <v>167.4</v>
      </c>
      <c r="Z115" s="9">
        <v>176.1</v>
      </c>
      <c r="AA115" s="9">
        <v>161.6</v>
      </c>
      <c r="AB115" s="9">
        <v>166.3</v>
      </c>
      <c r="AC115" s="9">
        <v>171.4</v>
      </c>
      <c r="AD115" s="9">
        <v>169.7</v>
      </c>
      <c r="AE115" s="9">
        <v>168.4</v>
      </c>
      <c r="AF115" s="9">
        <v>173.4</v>
      </c>
    </row>
    <row r="116" spans="1:32" ht="14.4" x14ac:dyDescent="0.3">
      <c r="A116" s="2" t="s">
        <v>34</v>
      </c>
      <c r="B116" s="2">
        <v>2022</v>
      </c>
      <c r="C116" s="2" t="s">
        <v>41</v>
      </c>
      <c r="D116" s="3">
        <v>44774</v>
      </c>
      <c r="E116" s="2" t="str">
        <f t="shared" si="3"/>
        <v>Post-Covid</v>
      </c>
      <c r="F116" s="9">
        <v>160.30000000000001</v>
      </c>
      <c r="G116" s="9">
        <v>206.5</v>
      </c>
      <c r="H116" s="9">
        <v>169.2</v>
      </c>
      <c r="I116" s="9">
        <v>168.1</v>
      </c>
      <c r="J116" s="9">
        <v>192.4</v>
      </c>
      <c r="K116" s="9">
        <v>172.9</v>
      </c>
      <c r="L116" s="9">
        <v>186.7</v>
      </c>
      <c r="M116" s="9">
        <v>167.2</v>
      </c>
      <c r="N116" s="9">
        <v>120.9</v>
      </c>
      <c r="O116" s="9">
        <v>193.6</v>
      </c>
      <c r="P116" s="9">
        <v>168.8</v>
      </c>
      <c r="Q116" s="9">
        <v>186.3</v>
      </c>
      <c r="R116" s="9">
        <v>176.3</v>
      </c>
      <c r="S116" s="9">
        <v>195</v>
      </c>
      <c r="T116" s="9">
        <v>179.5</v>
      </c>
      <c r="U116" s="9">
        <v>172.7</v>
      </c>
      <c r="V116" s="9">
        <v>178.5</v>
      </c>
      <c r="W116" s="9">
        <v>169</v>
      </c>
      <c r="X116" s="9">
        <v>178.8</v>
      </c>
      <c r="Y116" s="9">
        <v>168.5</v>
      </c>
      <c r="Z116" s="9">
        <v>176.8</v>
      </c>
      <c r="AA116" s="9">
        <v>161.9</v>
      </c>
      <c r="AB116" s="9">
        <v>166.9</v>
      </c>
      <c r="AC116" s="9">
        <v>172.3</v>
      </c>
      <c r="AD116" s="9">
        <v>171.2</v>
      </c>
      <c r="AE116" s="9">
        <v>169.1</v>
      </c>
      <c r="AF116" s="9">
        <v>174.3</v>
      </c>
    </row>
    <row r="117" spans="1:32" ht="14.4" x14ac:dyDescent="0.3">
      <c r="A117" s="2" t="s">
        <v>34</v>
      </c>
      <c r="B117" s="2">
        <v>2022</v>
      </c>
      <c r="C117" s="2" t="s">
        <v>42</v>
      </c>
      <c r="D117" s="3">
        <v>44805</v>
      </c>
      <c r="E117" s="2" t="str">
        <f t="shared" si="3"/>
        <v>Post-Covid</v>
      </c>
      <c r="F117" s="9">
        <v>163.5</v>
      </c>
      <c r="G117" s="9">
        <v>209.2</v>
      </c>
      <c r="H117" s="9">
        <v>169.7</v>
      </c>
      <c r="I117" s="9">
        <v>169.7</v>
      </c>
      <c r="J117" s="9">
        <v>188.7</v>
      </c>
      <c r="K117" s="9">
        <v>165.7</v>
      </c>
      <c r="L117" s="9">
        <v>191.8</v>
      </c>
      <c r="M117" s="9">
        <v>169.1</v>
      </c>
      <c r="N117" s="9">
        <v>121.6</v>
      </c>
      <c r="O117" s="9">
        <v>197.3</v>
      </c>
      <c r="P117" s="9">
        <v>169.4</v>
      </c>
      <c r="Q117" s="9">
        <v>187.4</v>
      </c>
      <c r="R117" s="9">
        <v>177.8</v>
      </c>
      <c r="S117" s="9">
        <v>195.9</v>
      </c>
      <c r="T117" s="9">
        <v>180.9</v>
      </c>
      <c r="U117" s="9">
        <v>174.3</v>
      </c>
      <c r="V117" s="9">
        <v>179.9</v>
      </c>
      <c r="W117" s="9">
        <v>169.5</v>
      </c>
      <c r="X117" s="9">
        <v>179.5</v>
      </c>
      <c r="Y117" s="9">
        <v>169.5</v>
      </c>
      <c r="Z117" s="9">
        <v>177.8</v>
      </c>
      <c r="AA117" s="9">
        <v>162.30000000000001</v>
      </c>
      <c r="AB117" s="9">
        <v>167.6</v>
      </c>
      <c r="AC117" s="9">
        <v>173.1</v>
      </c>
      <c r="AD117" s="9">
        <v>170.9</v>
      </c>
      <c r="AE117" s="9">
        <v>169.7</v>
      </c>
      <c r="AF117" s="9">
        <v>175.3</v>
      </c>
    </row>
    <row r="118" spans="1:32" ht="14.4" x14ac:dyDescent="0.3">
      <c r="A118" s="2" t="s">
        <v>34</v>
      </c>
      <c r="B118" s="2">
        <v>2022</v>
      </c>
      <c r="C118" s="2" t="s">
        <v>43</v>
      </c>
      <c r="D118" s="3">
        <v>44835</v>
      </c>
      <c r="E118" s="2" t="str">
        <f t="shared" si="3"/>
        <v>Post-Covid</v>
      </c>
      <c r="F118" s="9">
        <v>165.2</v>
      </c>
      <c r="G118" s="9">
        <v>210.9</v>
      </c>
      <c r="H118" s="9">
        <v>170.9</v>
      </c>
      <c r="I118" s="9">
        <v>170.9</v>
      </c>
      <c r="J118" s="9">
        <v>186.5</v>
      </c>
      <c r="K118" s="9">
        <v>163.80000000000001</v>
      </c>
      <c r="L118" s="9">
        <v>199.7</v>
      </c>
      <c r="M118" s="9">
        <v>169.8</v>
      </c>
      <c r="N118" s="9">
        <v>121.9</v>
      </c>
      <c r="O118" s="9">
        <v>199.9</v>
      </c>
      <c r="P118" s="9">
        <v>169.9</v>
      </c>
      <c r="Q118" s="9">
        <v>188.3</v>
      </c>
      <c r="R118" s="9">
        <v>179.6</v>
      </c>
      <c r="S118" s="9">
        <v>196.3</v>
      </c>
      <c r="T118" s="9">
        <v>181.9</v>
      </c>
      <c r="U118" s="9">
        <v>175.3</v>
      </c>
      <c r="V118" s="9">
        <v>181</v>
      </c>
      <c r="W118" s="9">
        <v>171.2</v>
      </c>
      <c r="X118" s="9">
        <v>180.5</v>
      </c>
      <c r="Y118" s="9">
        <v>170.4</v>
      </c>
      <c r="Z118" s="9">
        <v>178.7</v>
      </c>
      <c r="AA118" s="9">
        <v>162.9</v>
      </c>
      <c r="AB118" s="9">
        <v>168.2</v>
      </c>
      <c r="AC118" s="9">
        <v>173.4</v>
      </c>
      <c r="AD118" s="9">
        <v>172.1</v>
      </c>
      <c r="AE118" s="9">
        <v>170.5</v>
      </c>
      <c r="AF118" s="9">
        <v>176.7</v>
      </c>
    </row>
    <row r="119" spans="1:32" ht="14.4" x14ac:dyDescent="0.3">
      <c r="A119" s="2" t="s">
        <v>34</v>
      </c>
      <c r="B119" s="2">
        <v>2022</v>
      </c>
      <c r="C119" s="2" t="s">
        <v>44</v>
      </c>
      <c r="D119" s="3">
        <v>44866</v>
      </c>
      <c r="E119" s="2" t="str">
        <f t="shared" si="3"/>
        <v>Post-Covid</v>
      </c>
      <c r="F119" s="9">
        <v>167.4</v>
      </c>
      <c r="G119" s="9">
        <v>209.4</v>
      </c>
      <c r="H119" s="9">
        <v>181.4</v>
      </c>
      <c r="I119" s="9">
        <v>172.3</v>
      </c>
      <c r="J119" s="9">
        <v>188.9</v>
      </c>
      <c r="K119" s="9">
        <v>160.69999999999999</v>
      </c>
      <c r="L119" s="9">
        <v>183.1</v>
      </c>
      <c r="M119" s="9">
        <v>170.5</v>
      </c>
      <c r="N119" s="9">
        <v>122.1</v>
      </c>
      <c r="O119" s="9">
        <v>202.8</v>
      </c>
      <c r="P119" s="9">
        <v>170.4</v>
      </c>
      <c r="Q119" s="9">
        <v>189.5</v>
      </c>
      <c r="R119" s="9">
        <v>178.3</v>
      </c>
      <c r="S119" s="9">
        <v>196.9</v>
      </c>
      <c r="T119" s="9">
        <v>183.1</v>
      </c>
      <c r="U119" s="9">
        <v>176.2</v>
      </c>
      <c r="V119" s="9">
        <v>182.1</v>
      </c>
      <c r="W119" s="9">
        <v>171.8</v>
      </c>
      <c r="X119" s="9">
        <v>181.3</v>
      </c>
      <c r="Y119" s="9">
        <v>171.4</v>
      </c>
      <c r="Z119" s="9">
        <v>179.8</v>
      </c>
      <c r="AA119" s="9">
        <v>163</v>
      </c>
      <c r="AB119" s="9">
        <v>168.5</v>
      </c>
      <c r="AC119" s="9">
        <v>173.7</v>
      </c>
      <c r="AD119" s="9">
        <v>173.6</v>
      </c>
      <c r="AE119" s="9">
        <v>171.1</v>
      </c>
      <c r="AF119" s="9">
        <v>176.5</v>
      </c>
    </row>
    <row r="120" spans="1:32" ht="14.4" x14ac:dyDescent="0.3">
      <c r="A120" s="2" t="s">
        <v>34</v>
      </c>
      <c r="B120" s="2">
        <v>2022</v>
      </c>
      <c r="C120" s="2" t="s">
        <v>45</v>
      </c>
      <c r="D120" s="3">
        <v>44896</v>
      </c>
      <c r="E120" s="2" t="str">
        <f t="shared" si="3"/>
        <v>Post-Covid</v>
      </c>
      <c r="F120" s="9">
        <v>169.2</v>
      </c>
      <c r="G120" s="9">
        <v>209</v>
      </c>
      <c r="H120" s="9">
        <v>190.2</v>
      </c>
      <c r="I120" s="9">
        <v>173.6</v>
      </c>
      <c r="J120" s="9">
        <v>188.5</v>
      </c>
      <c r="K120" s="9">
        <v>158</v>
      </c>
      <c r="L120" s="9">
        <v>159.9</v>
      </c>
      <c r="M120" s="9">
        <v>170.8</v>
      </c>
      <c r="N120" s="9">
        <v>121.8</v>
      </c>
      <c r="O120" s="9">
        <v>205.2</v>
      </c>
      <c r="P120" s="9">
        <v>171</v>
      </c>
      <c r="Q120" s="9">
        <v>190.3</v>
      </c>
      <c r="R120" s="9">
        <v>175.9</v>
      </c>
      <c r="S120" s="9">
        <v>197.3</v>
      </c>
      <c r="T120" s="9">
        <v>184</v>
      </c>
      <c r="U120" s="9">
        <v>177</v>
      </c>
      <c r="V120" s="9">
        <v>183</v>
      </c>
      <c r="W120" s="9">
        <v>170.7</v>
      </c>
      <c r="X120" s="9">
        <v>182</v>
      </c>
      <c r="Y120" s="9">
        <v>172.1</v>
      </c>
      <c r="Z120" s="9">
        <v>181.1</v>
      </c>
      <c r="AA120" s="9">
        <v>163.4</v>
      </c>
      <c r="AB120" s="9">
        <v>168.9</v>
      </c>
      <c r="AC120" s="9">
        <v>174.1</v>
      </c>
      <c r="AD120" s="9">
        <v>175.8</v>
      </c>
      <c r="AE120" s="9">
        <v>172</v>
      </c>
      <c r="AF120" s="9">
        <v>175.7</v>
      </c>
    </row>
    <row r="121" spans="1:32" ht="14.4" x14ac:dyDescent="0.3">
      <c r="A121" s="2" t="s">
        <v>34</v>
      </c>
      <c r="B121" s="2">
        <v>2023</v>
      </c>
      <c r="C121" s="2" t="s">
        <v>31</v>
      </c>
      <c r="D121" s="3">
        <v>44927</v>
      </c>
      <c r="E121" s="2" t="str">
        <f t="shared" si="3"/>
        <v>Post-Covid</v>
      </c>
      <c r="F121" s="9">
        <v>173.8</v>
      </c>
      <c r="G121" s="9">
        <v>210.7</v>
      </c>
      <c r="H121" s="9">
        <v>194.5</v>
      </c>
      <c r="I121" s="9">
        <v>174.6</v>
      </c>
      <c r="J121" s="9">
        <v>187.2</v>
      </c>
      <c r="K121" s="9">
        <v>158.30000000000001</v>
      </c>
      <c r="L121" s="9">
        <v>153.9</v>
      </c>
      <c r="M121" s="9">
        <v>170.9</v>
      </c>
      <c r="N121" s="9">
        <v>121.1</v>
      </c>
      <c r="O121" s="9">
        <v>208.4</v>
      </c>
      <c r="P121" s="9">
        <v>171.4</v>
      </c>
      <c r="Q121" s="9">
        <v>191.2</v>
      </c>
      <c r="R121" s="9">
        <v>176.7</v>
      </c>
      <c r="S121" s="9">
        <v>198.2</v>
      </c>
      <c r="T121" s="9">
        <v>184.9</v>
      </c>
      <c r="U121" s="9">
        <v>177.6</v>
      </c>
      <c r="V121" s="9">
        <v>183.8</v>
      </c>
      <c r="W121" s="9">
        <v>172.1</v>
      </c>
      <c r="X121" s="9">
        <v>182</v>
      </c>
      <c r="Y121" s="9">
        <v>172.9</v>
      </c>
      <c r="Z121" s="9">
        <v>182.3</v>
      </c>
      <c r="AA121" s="9">
        <v>163.6</v>
      </c>
      <c r="AB121" s="9">
        <v>169.5</v>
      </c>
      <c r="AC121" s="9">
        <v>174.3</v>
      </c>
      <c r="AD121" s="9">
        <v>178.6</v>
      </c>
      <c r="AE121" s="9">
        <v>172.8</v>
      </c>
      <c r="AF121" s="9">
        <v>176.5</v>
      </c>
    </row>
    <row r="122" spans="1:32" ht="14.4" x14ac:dyDescent="0.3">
      <c r="A122" s="2" t="s">
        <v>34</v>
      </c>
      <c r="B122" s="2">
        <v>2023</v>
      </c>
      <c r="C122" s="2" t="s">
        <v>35</v>
      </c>
      <c r="D122" s="3">
        <v>44958</v>
      </c>
      <c r="E122" s="2" t="str">
        <f t="shared" si="3"/>
        <v>Post-Covid</v>
      </c>
      <c r="F122" s="9">
        <v>174.4</v>
      </c>
      <c r="G122" s="9">
        <v>207.7</v>
      </c>
      <c r="H122" s="9">
        <v>175.2</v>
      </c>
      <c r="I122" s="9">
        <v>177.3</v>
      </c>
      <c r="J122" s="9">
        <v>179.3</v>
      </c>
      <c r="K122" s="9">
        <v>169.5</v>
      </c>
      <c r="L122" s="9">
        <v>152.69999999999999</v>
      </c>
      <c r="M122" s="9">
        <v>171</v>
      </c>
      <c r="N122" s="9">
        <v>120</v>
      </c>
      <c r="O122" s="9">
        <v>209.7</v>
      </c>
      <c r="P122" s="9">
        <v>172.3</v>
      </c>
      <c r="Q122" s="9">
        <v>193</v>
      </c>
      <c r="R122" s="9">
        <v>177</v>
      </c>
      <c r="S122" s="9">
        <v>199.5</v>
      </c>
      <c r="T122" s="9">
        <v>186.2</v>
      </c>
      <c r="U122" s="9">
        <v>178.7</v>
      </c>
      <c r="V122" s="9">
        <v>185.1</v>
      </c>
      <c r="W122" s="9">
        <v>173.5</v>
      </c>
      <c r="X122" s="9">
        <v>182.1</v>
      </c>
      <c r="Y122" s="9">
        <v>174.2</v>
      </c>
      <c r="Z122" s="9">
        <v>184.4</v>
      </c>
      <c r="AA122" s="9">
        <v>164.2</v>
      </c>
      <c r="AB122" s="9">
        <v>170.3</v>
      </c>
      <c r="AC122" s="9">
        <v>175</v>
      </c>
      <c r="AD122" s="9">
        <v>181</v>
      </c>
      <c r="AE122" s="9">
        <v>174.1</v>
      </c>
      <c r="AF122" s="9">
        <v>177.2</v>
      </c>
    </row>
    <row r="123" spans="1:32" ht="14.4" x14ac:dyDescent="0.3">
      <c r="A123" s="2" t="s">
        <v>34</v>
      </c>
      <c r="B123" s="2">
        <v>2023</v>
      </c>
      <c r="C123" s="2" t="s">
        <v>36</v>
      </c>
      <c r="D123" s="3">
        <v>44986</v>
      </c>
      <c r="E123" s="2" t="str">
        <f t="shared" si="3"/>
        <v>Post-Covid</v>
      </c>
      <c r="F123" s="9">
        <v>174.4</v>
      </c>
      <c r="G123" s="9">
        <v>207.7</v>
      </c>
      <c r="H123" s="9">
        <v>175.2</v>
      </c>
      <c r="I123" s="9">
        <v>177.3</v>
      </c>
      <c r="J123" s="9">
        <v>179.2</v>
      </c>
      <c r="K123" s="9">
        <v>169.5</v>
      </c>
      <c r="L123" s="9">
        <v>152.80000000000001</v>
      </c>
      <c r="M123" s="9">
        <v>171.1</v>
      </c>
      <c r="N123" s="9">
        <v>120</v>
      </c>
      <c r="O123" s="9">
        <v>209.7</v>
      </c>
      <c r="P123" s="9">
        <v>172.3</v>
      </c>
      <c r="Q123" s="9">
        <v>193</v>
      </c>
      <c r="R123" s="9">
        <v>177</v>
      </c>
      <c r="S123" s="9">
        <v>199.5</v>
      </c>
      <c r="T123" s="9">
        <v>186.1</v>
      </c>
      <c r="U123" s="9">
        <v>178.7</v>
      </c>
      <c r="V123" s="9">
        <v>185.1</v>
      </c>
      <c r="W123" s="9">
        <v>173.5</v>
      </c>
      <c r="X123" s="9">
        <v>181.9</v>
      </c>
      <c r="Y123" s="9">
        <v>174.2</v>
      </c>
      <c r="Z123" s="9">
        <v>184.4</v>
      </c>
      <c r="AA123" s="9">
        <v>164.2</v>
      </c>
      <c r="AB123" s="9">
        <v>170.3</v>
      </c>
      <c r="AC123" s="9">
        <v>175</v>
      </c>
      <c r="AD123" s="9">
        <v>181</v>
      </c>
      <c r="AE123" s="9">
        <v>174.1</v>
      </c>
      <c r="AF123" s="9">
        <v>177.2</v>
      </c>
    </row>
    <row r="124" spans="1:32" ht="14.4" x14ac:dyDescent="0.3">
      <c r="A124" s="2" t="s">
        <v>34</v>
      </c>
      <c r="B124" s="2">
        <v>2023</v>
      </c>
      <c r="C124" s="2" t="s">
        <v>37</v>
      </c>
      <c r="D124" s="3">
        <v>45017</v>
      </c>
      <c r="E124" s="2" t="str">
        <f t="shared" si="3"/>
        <v>Post-Covid</v>
      </c>
      <c r="F124" s="9">
        <v>173.8</v>
      </c>
      <c r="G124" s="9">
        <v>209.3</v>
      </c>
      <c r="H124" s="9">
        <v>169.6</v>
      </c>
      <c r="I124" s="9">
        <v>178.4</v>
      </c>
      <c r="J124" s="9">
        <v>174.9</v>
      </c>
      <c r="K124" s="9">
        <v>176.3</v>
      </c>
      <c r="L124" s="9">
        <v>155.4</v>
      </c>
      <c r="M124" s="9">
        <v>173.4</v>
      </c>
      <c r="N124" s="9">
        <v>121.3</v>
      </c>
      <c r="O124" s="9">
        <v>212.9</v>
      </c>
      <c r="P124" s="9">
        <v>172.9</v>
      </c>
      <c r="Q124" s="9">
        <v>193.5</v>
      </c>
      <c r="R124" s="9">
        <v>177.9</v>
      </c>
      <c r="S124" s="9">
        <v>200.6</v>
      </c>
      <c r="T124" s="9">
        <v>186.9</v>
      </c>
      <c r="U124" s="9">
        <v>179.2</v>
      </c>
      <c r="V124" s="9">
        <v>185.7</v>
      </c>
      <c r="W124" s="9">
        <v>175.2</v>
      </c>
      <c r="X124" s="9">
        <v>181.7</v>
      </c>
      <c r="Y124" s="9">
        <v>174.6</v>
      </c>
      <c r="Z124" s="9">
        <v>185</v>
      </c>
      <c r="AA124" s="9">
        <v>164.5</v>
      </c>
      <c r="AB124" s="9">
        <v>170.7</v>
      </c>
      <c r="AC124" s="9">
        <v>176.4</v>
      </c>
      <c r="AD124" s="9">
        <v>184</v>
      </c>
      <c r="AE124" s="9">
        <v>175</v>
      </c>
      <c r="AF124" s="9">
        <v>178.1</v>
      </c>
    </row>
    <row r="125" spans="1:32" ht="14.4" x14ac:dyDescent="0.3">
      <c r="A125" s="2" t="s">
        <v>34</v>
      </c>
      <c r="B125" s="2">
        <v>2023</v>
      </c>
      <c r="C125" s="2" t="s">
        <v>38</v>
      </c>
      <c r="D125" s="3">
        <v>45047</v>
      </c>
      <c r="E125" s="2" t="str">
        <f t="shared" si="3"/>
        <v>Post-Covid</v>
      </c>
      <c r="F125" s="9">
        <v>173.7</v>
      </c>
      <c r="G125" s="9">
        <v>214.3</v>
      </c>
      <c r="H125" s="9">
        <v>173.2</v>
      </c>
      <c r="I125" s="9">
        <v>179.5</v>
      </c>
      <c r="J125" s="9">
        <v>170</v>
      </c>
      <c r="K125" s="9">
        <v>172.2</v>
      </c>
      <c r="L125" s="9">
        <v>161</v>
      </c>
      <c r="M125" s="9">
        <v>175.6</v>
      </c>
      <c r="N125" s="9">
        <v>122.7</v>
      </c>
      <c r="O125" s="9">
        <v>218</v>
      </c>
      <c r="P125" s="9">
        <v>173.4</v>
      </c>
      <c r="Q125" s="9">
        <v>194.2</v>
      </c>
      <c r="R125" s="9">
        <v>179.1</v>
      </c>
      <c r="S125" s="9">
        <v>201</v>
      </c>
      <c r="T125" s="9">
        <v>187.3</v>
      </c>
      <c r="U125" s="9">
        <v>179.7</v>
      </c>
      <c r="V125" s="9">
        <v>186.2</v>
      </c>
      <c r="W125" s="9">
        <v>175.6</v>
      </c>
      <c r="X125" s="9">
        <v>182.8</v>
      </c>
      <c r="Y125" s="9">
        <v>175.2</v>
      </c>
      <c r="Z125" s="9">
        <v>185.7</v>
      </c>
      <c r="AA125" s="9">
        <v>164.8</v>
      </c>
      <c r="AB125" s="9">
        <v>171.2</v>
      </c>
      <c r="AC125" s="9">
        <v>177.1</v>
      </c>
      <c r="AD125" s="9">
        <v>185.2</v>
      </c>
      <c r="AE125" s="9">
        <v>175.7</v>
      </c>
      <c r="AF125" s="9">
        <v>179.1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5A15-B817-43AD-B6CE-F0C34537ED82}">
  <dimension ref="A1:AE127"/>
  <sheetViews>
    <sheetView topLeftCell="C12" zoomScale="80" zoomScaleNormal="80" workbookViewId="0">
      <selection activeCell="K18" sqref="K18"/>
    </sheetView>
  </sheetViews>
  <sheetFormatPr defaultRowHeight="13.8" x14ac:dyDescent="0.25"/>
  <cols>
    <col min="1" max="1" width="30.21875" bestFit="1" customWidth="1"/>
    <col min="2" max="2" width="24.21875" bestFit="1" customWidth="1"/>
    <col min="5" max="5" width="10.6640625" bestFit="1" customWidth="1"/>
    <col min="6" max="6" width="5" bestFit="1" customWidth="1"/>
    <col min="7" max="7" width="9.44140625" bestFit="1" customWidth="1"/>
    <col min="8" max="8" width="7" bestFit="1" customWidth="1"/>
    <col min="9" max="9" width="10.88671875" bestFit="1" customWidth="1"/>
    <col min="10" max="10" width="19.88671875" bestFit="1" customWidth="1"/>
    <col min="11" max="11" width="28.33203125" bestFit="1" customWidth="1"/>
    <col min="12" max="12" width="22.33203125" bestFit="1" customWidth="1"/>
    <col min="13" max="13" width="8.5546875" bestFit="1" customWidth="1"/>
    <col min="14" max="14" width="13.77734375" bestFit="1" customWidth="1"/>
    <col min="15" max="15" width="10.33203125" bestFit="1" customWidth="1"/>
    <col min="16" max="16" width="7.21875" bestFit="1" customWidth="1"/>
    <col min="17" max="17" width="29.77734375" bestFit="1" customWidth="1"/>
    <col min="18" max="18" width="14.33203125" bestFit="1" customWidth="1"/>
    <col min="19" max="19" width="14.109375" bestFit="1" customWidth="1"/>
  </cols>
  <sheetData>
    <row r="1" spans="1:31" ht="13.8" customHeight="1" x14ac:dyDescent="0.25">
      <c r="A1" s="10" t="s">
        <v>61</v>
      </c>
      <c r="B1" s="12"/>
      <c r="E1" s="10" t="s">
        <v>62</v>
      </c>
      <c r="F1" s="10"/>
      <c r="G1" s="10"/>
      <c r="H1" s="10"/>
      <c r="I1" s="10"/>
      <c r="J1" s="10"/>
      <c r="K1" s="10"/>
      <c r="L1" s="10"/>
      <c r="M1" s="10"/>
      <c r="N1" s="10"/>
      <c r="O1" s="10"/>
      <c r="P1" s="10"/>
      <c r="Q1" s="10"/>
      <c r="R1" s="10"/>
      <c r="S1" s="10"/>
    </row>
    <row r="2" spans="1:31" ht="13.8" customHeight="1" x14ac:dyDescent="0.25">
      <c r="A2" s="13"/>
      <c r="B2" s="13"/>
      <c r="E2" s="11"/>
      <c r="F2" s="11"/>
      <c r="G2" s="11"/>
      <c r="H2" s="11"/>
      <c r="I2" s="11"/>
      <c r="J2" s="11"/>
      <c r="K2" s="11"/>
      <c r="L2" s="11"/>
      <c r="M2" s="11"/>
      <c r="N2" s="11"/>
      <c r="O2" s="11"/>
      <c r="P2" s="11"/>
      <c r="Q2" s="11"/>
      <c r="R2" s="11"/>
      <c r="S2" s="11"/>
    </row>
    <row r="3" spans="1:31" ht="15.6" x14ac:dyDescent="0.3">
      <c r="A3" s="5" t="s">
        <v>56</v>
      </c>
      <c r="B3" s="5" t="s">
        <v>57</v>
      </c>
      <c r="E3" s="1" t="s">
        <v>0</v>
      </c>
      <c r="F3" s="1" t="s">
        <v>1</v>
      </c>
      <c r="G3" s="1" t="s">
        <v>2</v>
      </c>
      <c r="H3" s="1" t="s">
        <v>48</v>
      </c>
      <c r="I3" s="1" t="s">
        <v>49</v>
      </c>
      <c r="J3" s="7" t="s">
        <v>15</v>
      </c>
      <c r="K3" s="7" t="s">
        <v>16</v>
      </c>
      <c r="L3" s="7" t="s">
        <v>19</v>
      </c>
      <c r="M3" s="7" t="s">
        <v>20</v>
      </c>
      <c r="N3" s="7" t="s">
        <v>21</v>
      </c>
      <c r="O3" s="7" t="s">
        <v>26</v>
      </c>
      <c r="P3" s="7" t="s">
        <v>23</v>
      </c>
      <c r="Q3" s="7" t="s">
        <v>24</v>
      </c>
      <c r="R3" s="7" t="s">
        <v>28</v>
      </c>
      <c r="S3" s="8" t="s">
        <v>29</v>
      </c>
      <c r="U3" t="s">
        <v>64</v>
      </c>
    </row>
    <row r="4" spans="1:31" ht="14.4" x14ac:dyDescent="0.3">
      <c r="A4" s="6" t="s">
        <v>3</v>
      </c>
      <c r="B4" s="6" t="s">
        <v>58</v>
      </c>
      <c r="E4" s="2" t="s">
        <v>34</v>
      </c>
      <c r="F4" s="2">
        <v>2013</v>
      </c>
      <c r="G4" s="2" t="s">
        <v>31</v>
      </c>
      <c r="H4" s="3">
        <v>41275</v>
      </c>
      <c r="I4" s="2" t="str">
        <f t="shared" ref="I4:I35" si="0">IF(H4&lt;DATE(2020,3,1),"Pre-Covid","Post-Covid")</f>
        <v>Pre-Covid</v>
      </c>
      <c r="J4" s="9">
        <v>105.6</v>
      </c>
      <c r="K4" s="9">
        <v>105.1</v>
      </c>
      <c r="L4" s="9">
        <v>106.2</v>
      </c>
      <c r="M4" s="9">
        <v>100.3</v>
      </c>
      <c r="N4" s="9">
        <v>105.5</v>
      </c>
      <c r="O4" s="9">
        <v>103.6</v>
      </c>
      <c r="P4" s="9">
        <v>104</v>
      </c>
      <c r="Q4" s="9">
        <v>103.2</v>
      </c>
      <c r="R4" s="9">
        <v>104.13333333333333</v>
      </c>
      <c r="S4" s="9">
        <v>104.6</v>
      </c>
      <c r="U4" s="75" t="s">
        <v>65</v>
      </c>
      <c r="V4" s="75"/>
      <c r="W4" s="75"/>
      <c r="X4" s="75"/>
      <c r="Y4" s="75"/>
      <c r="Z4" s="75"/>
      <c r="AA4" s="75"/>
      <c r="AB4" s="75"/>
      <c r="AC4" s="75"/>
    </row>
    <row r="5" spans="1:31" ht="14.4" x14ac:dyDescent="0.3">
      <c r="A5" s="6" t="s">
        <v>4</v>
      </c>
      <c r="B5" s="6" t="s">
        <v>58</v>
      </c>
      <c r="E5" s="2" t="s">
        <v>34</v>
      </c>
      <c r="F5" s="2">
        <v>2013</v>
      </c>
      <c r="G5" s="2" t="s">
        <v>35</v>
      </c>
      <c r="H5" s="3">
        <v>41306</v>
      </c>
      <c r="I5" s="2" t="str">
        <f t="shared" si="0"/>
        <v>Pre-Covid</v>
      </c>
      <c r="J5" s="9">
        <v>106.6</v>
      </c>
      <c r="K5" s="9">
        <v>105.7</v>
      </c>
      <c r="L5" s="9">
        <v>106.8</v>
      </c>
      <c r="M5" s="9">
        <v>100.4</v>
      </c>
      <c r="N5" s="9">
        <v>106</v>
      </c>
      <c r="O5" s="9">
        <v>103.9</v>
      </c>
      <c r="P5" s="9">
        <v>104.5</v>
      </c>
      <c r="Q5" s="9">
        <v>104.2</v>
      </c>
      <c r="R5" s="9">
        <v>104.43333333333334</v>
      </c>
      <c r="S5" s="9">
        <v>105.3</v>
      </c>
      <c r="U5" s="75"/>
      <c r="V5" s="75"/>
      <c r="W5" s="75"/>
      <c r="X5" s="75"/>
      <c r="Y5" s="75"/>
      <c r="Z5" s="75"/>
      <c r="AA5" s="75"/>
      <c r="AB5" s="75"/>
      <c r="AC5" s="75"/>
    </row>
    <row r="6" spans="1:31" ht="14.4" x14ac:dyDescent="0.3">
      <c r="A6" s="6" t="s">
        <v>5</v>
      </c>
      <c r="B6" s="6" t="s">
        <v>58</v>
      </c>
      <c r="E6" s="2" t="s">
        <v>34</v>
      </c>
      <c r="F6" s="2">
        <v>2013</v>
      </c>
      <c r="G6" s="2" t="s">
        <v>36</v>
      </c>
      <c r="H6" s="3">
        <v>41334</v>
      </c>
      <c r="I6" s="2" t="str">
        <f t="shared" si="0"/>
        <v>Pre-Covid</v>
      </c>
      <c r="J6" s="9">
        <v>106.9</v>
      </c>
      <c r="K6" s="9">
        <v>106.6</v>
      </c>
      <c r="L6" s="9">
        <v>107.3</v>
      </c>
      <c r="M6" s="9">
        <v>100.4</v>
      </c>
      <c r="N6" s="9">
        <v>106.1</v>
      </c>
      <c r="O6" s="9">
        <v>104</v>
      </c>
      <c r="P6" s="9">
        <v>104.9</v>
      </c>
      <c r="Q6" s="9">
        <v>105.1</v>
      </c>
      <c r="R6" s="9">
        <v>104.53333333333335</v>
      </c>
      <c r="S6" s="9">
        <v>105.5</v>
      </c>
    </row>
    <row r="7" spans="1:31" ht="14.4" x14ac:dyDescent="0.3">
      <c r="A7" s="6" t="s">
        <v>6</v>
      </c>
      <c r="B7" s="6" t="s">
        <v>58</v>
      </c>
      <c r="E7" s="2" t="s">
        <v>34</v>
      </c>
      <c r="F7" s="2">
        <v>2013</v>
      </c>
      <c r="G7" s="2" t="s">
        <v>37</v>
      </c>
      <c r="H7" s="3">
        <v>41365</v>
      </c>
      <c r="I7" s="2" t="str">
        <f t="shared" si="0"/>
        <v>Pre-Covid</v>
      </c>
      <c r="J7" s="9">
        <v>107.7</v>
      </c>
      <c r="K7" s="9">
        <v>107.5</v>
      </c>
      <c r="L7" s="9">
        <v>107.9</v>
      </c>
      <c r="M7" s="9">
        <v>100.5</v>
      </c>
      <c r="N7" s="9">
        <v>106.5</v>
      </c>
      <c r="O7" s="9">
        <v>105</v>
      </c>
      <c r="P7" s="9">
        <v>105.3</v>
      </c>
      <c r="Q7" s="9">
        <v>104.7</v>
      </c>
      <c r="R7" s="9">
        <v>104.46666666666665</v>
      </c>
      <c r="S7" s="9">
        <v>106.1</v>
      </c>
    </row>
    <row r="8" spans="1:31" ht="14.4" x14ac:dyDescent="0.3">
      <c r="A8" s="6" t="s">
        <v>7</v>
      </c>
      <c r="B8" s="6" t="s">
        <v>58</v>
      </c>
      <c r="E8" s="2" t="s">
        <v>34</v>
      </c>
      <c r="F8" s="2">
        <v>2013</v>
      </c>
      <c r="G8" s="2" t="s">
        <v>38</v>
      </c>
      <c r="H8" s="3">
        <v>41395</v>
      </c>
      <c r="I8" s="2" t="str">
        <f t="shared" si="0"/>
        <v>Pre-Covid</v>
      </c>
      <c r="J8" s="9">
        <v>109.2</v>
      </c>
      <c r="K8" s="9">
        <v>108.6</v>
      </c>
      <c r="L8" s="9">
        <v>108.5</v>
      </c>
      <c r="M8" s="9">
        <v>100.5</v>
      </c>
      <c r="N8" s="9">
        <v>107.4</v>
      </c>
      <c r="O8" s="9">
        <v>105.6</v>
      </c>
      <c r="P8" s="9">
        <v>105.9</v>
      </c>
      <c r="Q8" s="9">
        <v>104</v>
      </c>
      <c r="R8" s="9">
        <v>104.66666666666667</v>
      </c>
      <c r="S8" s="9">
        <v>106.9</v>
      </c>
    </row>
    <row r="9" spans="1:31" ht="14.4" x14ac:dyDescent="0.3">
      <c r="A9" s="6" t="s">
        <v>8</v>
      </c>
      <c r="B9" s="6" t="s">
        <v>58</v>
      </c>
      <c r="E9" s="2" t="s">
        <v>34</v>
      </c>
      <c r="F9" s="2">
        <v>2013</v>
      </c>
      <c r="G9" s="2" t="s">
        <v>39</v>
      </c>
      <c r="H9" s="3">
        <v>41426</v>
      </c>
      <c r="I9" s="2" t="str">
        <f t="shared" si="0"/>
        <v>Pre-Covid</v>
      </c>
      <c r="J9" s="9">
        <v>112.2</v>
      </c>
      <c r="K9" s="9">
        <v>109.5</v>
      </c>
      <c r="L9" s="9">
        <v>109.3</v>
      </c>
      <c r="M9" s="9">
        <v>106.6</v>
      </c>
      <c r="N9" s="9">
        <v>108.3</v>
      </c>
      <c r="O9" s="9">
        <v>107.4</v>
      </c>
      <c r="P9" s="9">
        <v>106.4</v>
      </c>
      <c r="Q9" s="9">
        <v>105.1</v>
      </c>
      <c r="R9" s="9">
        <v>105.26666666666667</v>
      </c>
      <c r="S9" s="9">
        <v>109.3</v>
      </c>
      <c r="V9" s="15"/>
      <c r="W9" s="15"/>
      <c r="X9" s="15"/>
      <c r="Y9" s="15"/>
      <c r="Z9" s="15"/>
      <c r="AA9" s="15"/>
      <c r="AB9" s="15"/>
      <c r="AC9" s="15"/>
      <c r="AD9" s="15"/>
      <c r="AE9" s="15"/>
    </row>
    <row r="10" spans="1:31" ht="14.4" x14ac:dyDescent="0.3">
      <c r="A10" s="6" t="s">
        <v>9</v>
      </c>
      <c r="B10" s="6" t="s">
        <v>58</v>
      </c>
      <c r="E10" s="2" t="s">
        <v>34</v>
      </c>
      <c r="F10" s="2">
        <v>2013</v>
      </c>
      <c r="G10" s="2" t="s">
        <v>40</v>
      </c>
      <c r="H10" s="3">
        <v>41456</v>
      </c>
      <c r="I10" s="2" t="str">
        <f t="shared" si="0"/>
        <v>Pre-Covid</v>
      </c>
      <c r="J10" s="9">
        <v>114.7</v>
      </c>
      <c r="K10" s="9">
        <v>110.3</v>
      </c>
      <c r="L10" s="9">
        <v>110</v>
      </c>
      <c r="M10" s="9">
        <v>107.7</v>
      </c>
      <c r="N10" s="9">
        <v>109.2</v>
      </c>
      <c r="O10" s="9">
        <v>109.1</v>
      </c>
      <c r="P10" s="9">
        <v>107</v>
      </c>
      <c r="Q10" s="9">
        <v>107.1</v>
      </c>
      <c r="R10" s="9">
        <v>105.7</v>
      </c>
      <c r="S10" s="9">
        <v>111</v>
      </c>
    </row>
    <row r="11" spans="1:31" ht="14.4" x14ac:dyDescent="0.3">
      <c r="A11" s="6" t="s">
        <v>10</v>
      </c>
      <c r="B11" s="6" t="s">
        <v>58</v>
      </c>
      <c r="E11" s="2" t="s">
        <v>34</v>
      </c>
      <c r="F11" s="2">
        <v>2013</v>
      </c>
      <c r="G11" s="2" t="s">
        <v>41</v>
      </c>
      <c r="H11" s="3">
        <v>41487</v>
      </c>
      <c r="I11" s="2" t="str">
        <f t="shared" si="0"/>
        <v>Pre-Covid</v>
      </c>
      <c r="J11" s="9">
        <v>116.6</v>
      </c>
      <c r="K11" s="9">
        <v>111.2</v>
      </c>
      <c r="L11" s="9">
        <v>110.7</v>
      </c>
      <c r="M11" s="9">
        <v>108.9</v>
      </c>
      <c r="N11" s="9">
        <v>109.7</v>
      </c>
      <c r="O11" s="9">
        <v>109.9</v>
      </c>
      <c r="P11" s="9">
        <v>107.5</v>
      </c>
      <c r="Q11" s="9">
        <v>108</v>
      </c>
      <c r="R11" s="9">
        <v>106.90000000000002</v>
      </c>
      <c r="S11" s="9">
        <v>112.4</v>
      </c>
    </row>
    <row r="12" spans="1:31" ht="14.4" x14ac:dyDescent="0.3">
      <c r="A12" s="6" t="s">
        <v>11</v>
      </c>
      <c r="B12" s="6" t="s">
        <v>58</v>
      </c>
      <c r="E12" s="2" t="s">
        <v>34</v>
      </c>
      <c r="F12" s="2">
        <v>2013</v>
      </c>
      <c r="G12" s="2" t="s">
        <v>42</v>
      </c>
      <c r="H12" s="3">
        <v>41518</v>
      </c>
      <c r="I12" s="2" t="str">
        <f t="shared" si="0"/>
        <v>Pre-Covid</v>
      </c>
      <c r="J12" s="9">
        <v>118.3</v>
      </c>
      <c r="K12" s="9">
        <v>112</v>
      </c>
      <c r="L12" s="9">
        <v>111.9</v>
      </c>
      <c r="M12" s="9">
        <v>109.7</v>
      </c>
      <c r="N12" s="9">
        <v>110.5</v>
      </c>
      <c r="O12" s="9">
        <v>110.6</v>
      </c>
      <c r="P12" s="9">
        <v>108.1</v>
      </c>
      <c r="Q12" s="9">
        <v>109.9</v>
      </c>
      <c r="R12" s="9">
        <v>107.96666666666665</v>
      </c>
      <c r="S12" s="9">
        <v>113.7</v>
      </c>
    </row>
    <row r="13" spans="1:31" ht="14.4" x14ac:dyDescent="0.3">
      <c r="A13" s="6" t="s">
        <v>12</v>
      </c>
      <c r="B13" s="6" t="s">
        <v>58</v>
      </c>
      <c r="E13" s="2" t="s">
        <v>34</v>
      </c>
      <c r="F13" s="2">
        <v>2013</v>
      </c>
      <c r="G13" s="2" t="s">
        <v>43</v>
      </c>
      <c r="H13" s="3">
        <v>41548</v>
      </c>
      <c r="I13" s="2" t="str">
        <f t="shared" si="0"/>
        <v>Pre-Covid</v>
      </c>
      <c r="J13" s="9">
        <v>120.2</v>
      </c>
      <c r="K13" s="9">
        <v>112.5</v>
      </c>
      <c r="L13" s="9">
        <v>112.8</v>
      </c>
      <c r="M13" s="9">
        <v>110.5</v>
      </c>
      <c r="N13" s="9">
        <v>110.9</v>
      </c>
      <c r="O13" s="9">
        <v>110.8</v>
      </c>
      <c r="P13" s="9">
        <v>108.6</v>
      </c>
      <c r="Q13" s="9">
        <v>109.5</v>
      </c>
      <c r="R13" s="9">
        <v>108.59999999999998</v>
      </c>
      <c r="S13" s="9">
        <v>114.8</v>
      </c>
    </row>
    <row r="14" spans="1:31" ht="14.4" x14ac:dyDescent="0.3">
      <c r="A14" s="6" t="s">
        <v>13</v>
      </c>
      <c r="B14" s="6" t="s">
        <v>58</v>
      </c>
      <c r="E14" s="2" t="s">
        <v>34</v>
      </c>
      <c r="F14" s="2">
        <v>2013</v>
      </c>
      <c r="G14" s="2" t="s">
        <v>44</v>
      </c>
      <c r="H14" s="3">
        <v>41579</v>
      </c>
      <c r="I14" s="2" t="str">
        <f t="shared" si="0"/>
        <v>Pre-Covid</v>
      </c>
      <c r="J14" s="9">
        <v>122.6</v>
      </c>
      <c r="K14" s="9">
        <v>113.1</v>
      </c>
      <c r="L14" s="9">
        <v>113.8</v>
      </c>
      <c r="M14" s="9">
        <v>111.1</v>
      </c>
      <c r="N14" s="9">
        <v>111.6</v>
      </c>
      <c r="O14" s="9">
        <v>111.2</v>
      </c>
      <c r="P14" s="9">
        <v>109.3</v>
      </c>
      <c r="Q14" s="9">
        <v>109.5</v>
      </c>
      <c r="R14" s="9">
        <v>109.26666666666665</v>
      </c>
      <c r="S14" s="9">
        <v>116.3</v>
      </c>
    </row>
    <row r="15" spans="1:31" ht="14.4" x14ac:dyDescent="0.3">
      <c r="A15" s="6" t="s">
        <v>14</v>
      </c>
      <c r="B15" s="6" t="s">
        <v>58</v>
      </c>
      <c r="E15" s="2" t="s">
        <v>34</v>
      </c>
      <c r="F15" s="2">
        <v>2013</v>
      </c>
      <c r="G15" s="2" t="s">
        <v>45</v>
      </c>
      <c r="H15" s="3">
        <v>41609</v>
      </c>
      <c r="I15" s="2" t="str">
        <f t="shared" si="0"/>
        <v>Pre-Covid</v>
      </c>
      <c r="J15" s="9">
        <v>118.4</v>
      </c>
      <c r="K15" s="9">
        <v>114</v>
      </c>
      <c r="L15" s="9">
        <v>114.8</v>
      </c>
      <c r="M15" s="9">
        <v>110.7</v>
      </c>
      <c r="N15" s="9">
        <v>111.9</v>
      </c>
      <c r="O15" s="9">
        <v>111.5</v>
      </c>
      <c r="P15" s="9">
        <v>109.7</v>
      </c>
      <c r="Q15" s="9">
        <v>109.8</v>
      </c>
      <c r="R15" s="9">
        <v>109.53333333333335</v>
      </c>
      <c r="S15" s="9">
        <v>114.5</v>
      </c>
    </row>
    <row r="16" spans="1:31" ht="14.4" x14ac:dyDescent="0.3">
      <c r="A16" s="6" t="s">
        <v>15</v>
      </c>
      <c r="B16" s="6" t="s">
        <v>58</v>
      </c>
      <c r="E16" s="2" t="s">
        <v>34</v>
      </c>
      <c r="F16" s="2">
        <v>2014</v>
      </c>
      <c r="G16" s="2" t="s">
        <v>31</v>
      </c>
      <c r="H16" s="3">
        <v>41640</v>
      </c>
      <c r="I16" s="2" t="str">
        <f t="shared" si="0"/>
        <v>Pre-Covid</v>
      </c>
      <c r="J16" s="9">
        <v>115.8</v>
      </c>
      <c r="K16" s="9">
        <v>114.5</v>
      </c>
      <c r="L16" s="9">
        <v>115.4</v>
      </c>
      <c r="M16" s="9">
        <v>111.6</v>
      </c>
      <c r="N16" s="9">
        <v>112.2</v>
      </c>
      <c r="O16" s="9">
        <v>111.6</v>
      </c>
      <c r="P16" s="9">
        <v>110.3</v>
      </c>
      <c r="Q16" s="9">
        <v>110.7</v>
      </c>
      <c r="R16" s="9">
        <v>110.06666666666666</v>
      </c>
      <c r="S16" s="9">
        <v>113.6</v>
      </c>
    </row>
    <row r="17" spans="1:19" ht="14.4" x14ac:dyDescent="0.3">
      <c r="A17" s="6" t="s">
        <v>16</v>
      </c>
      <c r="B17" s="6" t="s">
        <v>16</v>
      </c>
      <c r="E17" s="2" t="s">
        <v>34</v>
      </c>
      <c r="F17" s="2">
        <v>2014</v>
      </c>
      <c r="G17" s="2" t="s">
        <v>35</v>
      </c>
      <c r="H17" s="3">
        <v>41671</v>
      </c>
      <c r="I17" s="2" t="str">
        <f t="shared" si="0"/>
        <v>Pre-Covid</v>
      </c>
      <c r="J17" s="9">
        <v>115.3</v>
      </c>
      <c r="K17" s="9">
        <v>114.7</v>
      </c>
      <c r="L17" s="9">
        <v>115.9</v>
      </c>
      <c r="M17" s="9">
        <v>112.5</v>
      </c>
      <c r="N17" s="9">
        <v>112.4</v>
      </c>
      <c r="O17" s="9">
        <v>111.8</v>
      </c>
      <c r="P17" s="9">
        <v>110.7</v>
      </c>
      <c r="Q17" s="9">
        <v>111.1</v>
      </c>
      <c r="R17" s="9">
        <v>110.53333333333332</v>
      </c>
      <c r="S17" s="9">
        <v>113.6</v>
      </c>
    </row>
    <row r="18" spans="1:19" ht="14.4" x14ac:dyDescent="0.3">
      <c r="A18" s="6" t="s">
        <v>17</v>
      </c>
      <c r="B18" s="6" t="s">
        <v>19</v>
      </c>
      <c r="E18" s="2" t="s">
        <v>34</v>
      </c>
      <c r="F18" s="2">
        <v>2014</v>
      </c>
      <c r="G18" s="2" t="s">
        <v>46</v>
      </c>
      <c r="H18" s="3">
        <v>41699</v>
      </c>
      <c r="I18" s="2" t="str">
        <f t="shared" si="0"/>
        <v>Pre-Covid</v>
      </c>
      <c r="J18" s="9">
        <v>116.1</v>
      </c>
      <c r="K18" s="9">
        <v>115.2</v>
      </c>
      <c r="L18" s="9">
        <v>116.4</v>
      </c>
      <c r="M18" s="9">
        <v>113.2</v>
      </c>
      <c r="N18" s="9">
        <v>112.5</v>
      </c>
      <c r="O18" s="9">
        <v>112</v>
      </c>
      <c r="P18" s="9">
        <v>111.2</v>
      </c>
      <c r="Q18" s="9">
        <v>111.4</v>
      </c>
      <c r="R18" s="9">
        <v>110.93333333333334</v>
      </c>
      <c r="S18" s="9">
        <v>114.2</v>
      </c>
    </row>
    <row r="19" spans="1:19" ht="14.4" x14ac:dyDescent="0.3">
      <c r="A19" s="6" t="s">
        <v>18</v>
      </c>
      <c r="B19" s="6" t="s">
        <v>19</v>
      </c>
      <c r="E19" s="2" t="s">
        <v>34</v>
      </c>
      <c r="F19" s="2">
        <v>2014</v>
      </c>
      <c r="G19" s="2" t="s">
        <v>37</v>
      </c>
      <c r="H19" s="3">
        <v>41730</v>
      </c>
      <c r="I19" s="2" t="str">
        <f t="shared" si="0"/>
        <v>Pre-Covid</v>
      </c>
      <c r="J19" s="9">
        <v>117.6</v>
      </c>
      <c r="K19" s="9">
        <v>116</v>
      </c>
      <c r="L19" s="9">
        <v>117</v>
      </c>
      <c r="M19" s="9">
        <v>113.9</v>
      </c>
      <c r="N19" s="9">
        <v>112.5</v>
      </c>
      <c r="O19" s="9">
        <v>112.7</v>
      </c>
      <c r="P19" s="9">
        <v>111.5</v>
      </c>
      <c r="Q19" s="9">
        <v>111.2</v>
      </c>
      <c r="R19" s="9">
        <v>111.16666666666667</v>
      </c>
      <c r="S19" s="9">
        <v>115.1</v>
      </c>
    </row>
    <row r="20" spans="1:19" ht="14.4" x14ac:dyDescent="0.3">
      <c r="A20" s="6" t="s">
        <v>19</v>
      </c>
      <c r="B20" s="6" t="s">
        <v>19</v>
      </c>
      <c r="E20" s="2" t="s">
        <v>34</v>
      </c>
      <c r="F20" s="2">
        <v>2014</v>
      </c>
      <c r="G20" s="2" t="s">
        <v>38</v>
      </c>
      <c r="H20" s="3">
        <v>41760</v>
      </c>
      <c r="I20" s="2" t="str">
        <f t="shared" si="0"/>
        <v>Pre-Covid</v>
      </c>
      <c r="J20" s="9">
        <v>118.9</v>
      </c>
      <c r="K20" s="9">
        <v>116.8</v>
      </c>
      <c r="L20" s="9">
        <v>117.6</v>
      </c>
      <c r="M20" s="9">
        <v>114.3</v>
      </c>
      <c r="N20" s="9">
        <v>112.5</v>
      </c>
      <c r="O20" s="9">
        <v>113</v>
      </c>
      <c r="P20" s="9">
        <v>111.8</v>
      </c>
      <c r="Q20" s="9">
        <v>111.3</v>
      </c>
      <c r="R20" s="9">
        <v>111.46666666666665</v>
      </c>
      <c r="S20" s="9">
        <v>115.8</v>
      </c>
    </row>
    <row r="21" spans="1:19" ht="14.4" x14ac:dyDescent="0.3">
      <c r="A21" s="6" t="s">
        <v>20</v>
      </c>
      <c r="B21" s="6" t="s">
        <v>20</v>
      </c>
      <c r="E21" s="2" t="s">
        <v>34</v>
      </c>
      <c r="F21" s="2">
        <v>2014</v>
      </c>
      <c r="G21" s="2" t="s">
        <v>39</v>
      </c>
      <c r="H21" s="3">
        <v>41791</v>
      </c>
      <c r="I21" s="2" t="str">
        <f t="shared" si="0"/>
        <v>Pre-Covid</v>
      </c>
      <c r="J21" s="9">
        <v>120.4</v>
      </c>
      <c r="K21" s="9">
        <v>117.8</v>
      </c>
      <c r="L21" s="9">
        <v>118.3</v>
      </c>
      <c r="M21" s="9">
        <v>113.9</v>
      </c>
      <c r="N21" s="9">
        <v>113.2</v>
      </c>
      <c r="O21" s="9">
        <v>114.8</v>
      </c>
      <c r="P21" s="9">
        <v>112.3</v>
      </c>
      <c r="Q21" s="9">
        <v>111.8</v>
      </c>
      <c r="R21" s="9">
        <v>111.5</v>
      </c>
      <c r="S21" s="9">
        <v>116.7</v>
      </c>
    </row>
    <row r="22" spans="1:19" ht="14.4" x14ac:dyDescent="0.3">
      <c r="A22" s="6" t="s">
        <v>21</v>
      </c>
      <c r="B22" s="6" t="s">
        <v>59</v>
      </c>
      <c r="E22" s="2" t="s">
        <v>34</v>
      </c>
      <c r="F22" s="2">
        <v>2014</v>
      </c>
      <c r="G22" s="2" t="s">
        <v>40</v>
      </c>
      <c r="H22" s="3">
        <v>41821</v>
      </c>
      <c r="I22" s="2" t="str">
        <f t="shared" si="0"/>
        <v>Pre-Covid</v>
      </c>
      <c r="J22" s="9">
        <v>124.7</v>
      </c>
      <c r="K22" s="9">
        <v>118.8</v>
      </c>
      <c r="L22" s="9">
        <v>119.1</v>
      </c>
      <c r="M22" s="9">
        <v>114.8</v>
      </c>
      <c r="N22" s="9">
        <v>113.9</v>
      </c>
      <c r="O22" s="9">
        <v>116.8</v>
      </c>
      <c r="P22" s="9">
        <v>112.7</v>
      </c>
      <c r="Q22" s="9">
        <v>113.1</v>
      </c>
      <c r="R22" s="9">
        <v>112.16666666666667</v>
      </c>
      <c r="S22" s="9">
        <v>119.2</v>
      </c>
    </row>
    <row r="23" spans="1:19" ht="14.4" x14ac:dyDescent="0.3">
      <c r="A23" s="6" t="s">
        <v>22</v>
      </c>
      <c r="B23" s="6" t="s">
        <v>28</v>
      </c>
      <c r="E23" s="2" t="s">
        <v>34</v>
      </c>
      <c r="F23" s="2">
        <v>2014</v>
      </c>
      <c r="G23" s="2" t="s">
        <v>41</v>
      </c>
      <c r="H23" s="3">
        <v>41852</v>
      </c>
      <c r="I23" s="2" t="str">
        <f t="shared" si="0"/>
        <v>Pre-Covid</v>
      </c>
      <c r="J23" s="9">
        <v>126.6</v>
      </c>
      <c r="K23" s="9">
        <v>119.9</v>
      </c>
      <c r="L23" s="9">
        <v>119.6</v>
      </c>
      <c r="M23" s="9">
        <v>115.5</v>
      </c>
      <c r="N23" s="9">
        <v>114</v>
      </c>
      <c r="O23" s="9">
        <v>118</v>
      </c>
      <c r="P23" s="9">
        <v>113.3</v>
      </c>
      <c r="Q23" s="9">
        <v>112.8</v>
      </c>
      <c r="R23" s="9">
        <v>112.7</v>
      </c>
      <c r="S23" s="9">
        <v>120.3</v>
      </c>
    </row>
    <row r="24" spans="1:19" ht="14.4" x14ac:dyDescent="0.3">
      <c r="A24" s="6" t="s">
        <v>26</v>
      </c>
      <c r="B24" s="6" t="s">
        <v>26</v>
      </c>
      <c r="E24" s="2" t="s">
        <v>34</v>
      </c>
      <c r="F24" s="2">
        <v>2014</v>
      </c>
      <c r="G24" s="2" t="s">
        <v>42</v>
      </c>
      <c r="H24" s="3">
        <v>41883</v>
      </c>
      <c r="I24" s="2" t="str">
        <f t="shared" si="0"/>
        <v>Pre-Covid</v>
      </c>
      <c r="J24" s="9">
        <v>125.8</v>
      </c>
      <c r="K24" s="9">
        <v>120.8</v>
      </c>
      <c r="L24" s="9">
        <v>120.1</v>
      </c>
      <c r="M24" s="9">
        <v>116.1</v>
      </c>
      <c r="N24" s="9">
        <v>114.3</v>
      </c>
      <c r="O24" s="9">
        <v>118.6</v>
      </c>
      <c r="P24" s="9">
        <v>113.7</v>
      </c>
      <c r="Q24" s="9">
        <v>112</v>
      </c>
      <c r="R24" s="9">
        <v>112.89999999999999</v>
      </c>
      <c r="S24" s="9">
        <v>120.1</v>
      </c>
    </row>
    <row r="25" spans="1:19" ht="14.4" x14ac:dyDescent="0.3">
      <c r="A25" s="6" t="s">
        <v>23</v>
      </c>
      <c r="B25" s="6" t="s">
        <v>23</v>
      </c>
      <c r="E25" s="2" t="s">
        <v>34</v>
      </c>
      <c r="F25" s="2">
        <v>2014</v>
      </c>
      <c r="G25" s="2" t="s">
        <v>43</v>
      </c>
      <c r="H25" s="3">
        <v>41913</v>
      </c>
      <c r="I25" s="2" t="str">
        <f t="shared" si="0"/>
        <v>Pre-Covid</v>
      </c>
      <c r="J25" s="9">
        <v>125.4</v>
      </c>
      <c r="K25" s="9">
        <v>121.1</v>
      </c>
      <c r="L25" s="9">
        <v>121</v>
      </c>
      <c r="M25" s="9">
        <v>116.7</v>
      </c>
      <c r="N25" s="9">
        <v>114.7</v>
      </c>
      <c r="O25" s="9">
        <v>118.8</v>
      </c>
      <c r="P25" s="9">
        <v>114.3</v>
      </c>
      <c r="Q25" s="9">
        <v>111.8</v>
      </c>
      <c r="R25" s="9">
        <v>113.2</v>
      </c>
      <c r="S25" s="9">
        <v>120.1</v>
      </c>
    </row>
    <row r="26" spans="1:19" ht="14.4" x14ac:dyDescent="0.3">
      <c r="A26" s="6" t="s">
        <v>24</v>
      </c>
      <c r="B26" s="6" t="s">
        <v>60</v>
      </c>
      <c r="E26" s="2" t="s">
        <v>34</v>
      </c>
      <c r="F26" s="2">
        <v>2014</v>
      </c>
      <c r="G26" s="2" t="s">
        <v>44</v>
      </c>
      <c r="H26" s="3">
        <v>41944</v>
      </c>
      <c r="I26" s="2" t="str">
        <f t="shared" si="0"/>
        <v>Pre-Covid</v>
      </c>
      <c r="J26" s="9">
        <v>125.1</v>
      </c>
      <c r="K26" s="9">
        <v>122.1</v>
      </c>
      <c r="L26" s="9">
        <v>121.6</v>
      </c>
      <c r="M26" s="9">
        <v>117.1</v>
      </c>
      <c r="N26" s="9">
        <v>115.5</v>
      </c>
      <c r="O26" s="9">
        <v>119</v>
      </c>
      <c r="P26" s="9">
        <v>114.8</v>
      </c>
      <c r="Q26" s="9">
        <v>110.8</v>
      </c>
      <c r="R26" s="9">
        <v>113.36666666666667</v>
      </c>
      <c r="S26" s="9">
        <v>120.1</v>
      </c>
    </row>
    <row r="27" spans="1:19" ht="14.4" x14ac:dyDescent="0.3">
      <c r="A27" s="6" t="s">
        <v>25</v>
      </c>
      <c r="B27" s="6" t="s">
        <v>28</v>
      </c>
      <c r="E27" s="2" t="s">
        <v>34</v>
      </c>
      <c r="F27" s="2">
        <v>2014</v>
      </c>
      <c r="G27" s="2" t="s">
        <v>45</v>
      </c>
      <c r="H27" s="3">
        <v>41974</v>
      </c>
      <c r="I27" s="2" t="str">
        <f t="shared" si="0"/>
        <v>Pre-Covid</v>
      </c>
      <c r="J27" s="9">
        <v>123.6</v>
      </c>
      <c r="K27" s="9">
        <v>123</v>
      </c>
      <c r="L27" s="9">
        <v>122</v>
      </c>
      <c r="M27" s="9">
        <v>116.5</v>
      </c>
      <c r="N27" s="9">
        <v>115.7</v>
      </c>
      <c r="O27" s="9">
        <v>119.5</v>
      </c>
      <c r="P27" s="9">
        <v>115.1</v>
      </c>
      <c r="Q27" s="9">
        <v>110.1</v>
      </c>
      <c r="R27" s="9">
        <v>113.73333333333333</v>
      </c>
      <c r="S27" s="9">
        <v>119.4</v>
      </c>
    </row>
    <row r="28" spans="1:19" ht="14.4" x14ac:dyDescent="0.3">
      <c r="A28" s="6" t="s">
        <v>27</v>
      </c>
      <c r="B28" s="6" t="s">
        <v>28</v>
      </c>
      <c r="E28" s="2" t="s">
        <v>34</v>
      </c>
      <c r="F28" s="2">
        <v>2015</v>
      </c>
      <c r="G28" s="2" t="s">
        <v>31</v>
      </c>
      <c r="H28" s="3">
        <v>42005</v>
      </c>
      <c r="I28" s="2" t="str">
        <f t="shared" si="0"/>
        <v>Pre-Covid</v>
      </c>
      <c r="J28" s="9">
        <v>123.1</v>
      </c>
      <c r="K28" s="9">
        <v>124</v>
      </c>
      <c r="L28" s="9">
        <v>122.5</v>
      </c>
      <c r="M28" s="9">
        <v>117.3</v>
      </c>
      <c r="N28" s="9">
        <v>116.5</v>
      </c>
      <c r="O28" s="9">
        <v>119.7</v>
      </c>
      <c r="P28" s="9">
        <v>115.5</v>
      </c>
      <c r="Q28" s="9">
        <v>109.4</v>
      </c>
      <c r="R28" s="9">
        <v>114.36666666666666</v>
      </c>
      <c r="S28" s="9">
        <v>119.5</v>
      </c>
    </row>
    <row r="29" spans="1:19" ht="14.4" x14ac:dyDescent="0.3">
      <c r="A29" s="6" t="s">
        <v>28</v>
      </c>
      <c r="B29" s="6" t="s">
        <v>28</v>
      </c>
      <c r="E29" s="2" t="s">
        <v>34</v>
      </c>
      <c r="F29" s="2">
        <v>2015</v>
      </c>
      <c r="G29" s="2" t="s">
        <v>35</v>
      </c>
      <c r="H29" s="3">
        <v>42036</v>
      </c>
      <c r="I29" s="2" t="str">
        <f t="shared" si="0"/>
        <v>Pre-Covid</v>
      </c>
      <c r="J29" s="9">
        <v>123.1</v>
      </c>
      <c r="K29" s="9">
        <v>125.2</v>
      </c>
      <c r="L29" s="9">
        <v>123.3</v>
      </c>
      <c r="M29" s="9">
        <v>118.1</v>
      </c>
      <c r="N29" s="9">
        <v>117.7</v>
      </c>
      <c r="O29" s="9">
        <v>119.7</v>
      </c>
      <c r="P29" s="9">
        <v>116.3</v>
      </c>
      <c r="Q29" s="9">
        <v>108.7</v>
      </c>
      <c r="R29" s="9">
        <v>114.93333333333334</v>
      </c>
      <c r="S29" s="9">
        <v>119.7</v>
      </c>
    </row>
    <row r="30" spans="1:19" ht="14.4" x14ac:dyDescent="0.3">
      <c r="A30" s="6" t="s">
        <v>29</v>
      </c>
      <c r="B30" s="6" t="s">
        <v>29</v>
      </c>
      <c r="E30" s="2" t="s">
        <v>34</v>
      </c>
      <c r="F30" s="2">
        <v>2015</v>
      </c>
      <c r="G30" s="2" t="s">
        <v>36</v>
      </c>
      <c r="H30" s="3">
        <v>42064</v>
      </c>
      <c r="I30" s="2" t="str">
        <f t="shared" si="0"/>
        <v>Pre-Covid</v>
      </c>
      <c r="J30" s="9">
        <v>123.4</v>
      </c>
      <c r="K30" s="9">
        <v>125.8</v>
      </c>
      <c r="L30" s="9">
        <v>123.7</v>
      </c>
      <c r="M30" s="9">
        <v>118.6</v>
      </c>
      <c r="N30" s="9">
        <v>118.3</v>
      </c>
      <c r="O30" s="9">
        <v>120.1</v>
      </c>
      <c r="P30" s="9">
        <v>116.7</v>
      </c>
      <c r="Q30" s="9">
        <v>109.9</v>
      </c>
      <c r="R30" s="9">
        <v>115.2</v>
      </c>
      <c r="S30" s="9">
        <v>120.2</v>
      </c>
    </row>
    <row r="31" spans="1:19" ht="14.4" x14ac:dyDescent="0.3">
      <c r="E31" s="2" t="s">
        <v>34</v>
      </c>
      <c r="F31" s="2">
        <v>2015</v>
      </c>
      <c r="G31" s="2" t="s">
        <v>37</v>
      </c>
      <c r="H31" s="3">
        <v>42095</v>
      </c>
      <c r="I31" s="2" t="str">
        <f t="shared" si="0"/>
        <v>Pre-Covid</v>
      </c>
      <c r="J31" s="9">
        <v>124</v>
      </c>
      <c r="K31" s="9">
        <v>126.9</v>
      </c>
      <c r="L31" s="9">
        <v>124.1</v>
      </c>
      <c r="M31" s="9">
        <v>119.2</v>
      </c>
      <c r="N31" s="9">
        <v>118.7</v>
      </c>
      <c r="O31" s="9">
        <v>121</v>
      </c>
      <c r="P31" s="9">
        <v>117.1</v>
      </c>
      <c r="Q31" s="9">
        <v>110.1</v>
      </c>
      <c r="R31" s="9">
        <v>115.76666666666667</v>
      </c>
      <c r="S31" s="9">
        <v>120.7</v>
      </c>
    </row>
    <row r="32" spans="1:19" ht="14.4" x14ac:dyDescent="0.3">
      <c r="E32" s="2" t="s">
        <v>34</v>
      </c>
      <c r="F32" s="2">
        <v>2015</v>
      </c>
      <c r="G32" s="2" t="s">
        <v>38</v>
      </c>
      <c r="H32" s="3">
        <v>42125</v>
      </c>
      <c r="I32" s="2" t="str">
        <f t="shared" si="0"/>
        <v>Pre-Covid</v>
      </c>
      <c r="J32" s="9">
        <v>125</v>
      </c>
      <c r="K32" s="9">
        <v>127.9</v>
      </c>
      <c r="L32" s="9">
        <v>124.7</v>
      </c>
      <c r="M32" s="9">
        <v>119.6</v>
      </c>
      <c r="N32" s="9">
        <v>119.2</v>
      </c>
      <c r="O32" s="9">
        <v>121.4</v>
      </c>
      <c r="P32" s="9">
        <v>117.7</v>
      </c>
      <c r="Q32" s="9">
        <v>112</v>
      </c>
      <c r="R32" s="9">
        <v>116.26666666666667</v>
      </c>
      <c r="S32" s="9">
        <v>121.6</v>
      </c>
    </row>
    <row r="33" spans="5:19" ht="14.4" x14ac:dyDescent="0.3">
      <c r="E33" s="2" t="s">
        <v>34</v>
      </c>
      <c r="F33" s="2">
        <v>2015</v>
      </c>
      <c r="G33" s="2" t="s">
        <v>39</v>
      </c>
      <c r="H33" s="3">
        <v>42156</v>
      </c>
      <c r="I33" s="2" t="str">
        <f t="shared" si="0"/>
        <v>Pre-Covid</v>
      </c>
      <c r="J33" s="9">
        <v>127.3</v>
      </c>
      <c r="K33" s="9">
        <v>129.19999999999999</v>
      </c>
      <c r="L33" s="9">
        <v>125.7</v>
      </c>
      <c r="M33" s="9">
        <v>119</v>
      </c>
      <c r="N33" s="9">
        <v>119.8</v>
      </c>
      <c r="O33" s="9">
        <v>123.1</v>
      </c>
      <c r="P33" s="9">
        <v>118.5</v>
      </c>
      <c r="Q33" s="9">
        <v>112.9</v>
      </c>
      <c r="R33" s="9">
        <v>116.93333333333334</v>
      </c>
      <c r="S33" s="9">
        <v>123</v>
      </c>
    </row>
    <row r="34" spans="5:19" ht="14.4" x14ac:dyDescent="0.3">
      <c r="E34" s="2" t="s">
        <v>34</v>
      </c>
      <c r="F34" s="2">
        <v>2015</v>
      </c>
      <c r="G34" s="2" t="s">
        <v>40</v>
      </c>
      <c r="H34" s="3">
        <v>42186</v>
      </c>
      <c r="I34" s="2" t="str">
        <f t="shared" si="0"/>
        <v>Pre-Covid</v>
      </c>
      <c r="J34" s="9">
        <v>128.19999999999999</v>
      </c>
      <c r="K34" s="9">
        <v>130.4</v>
      </c>
      <c r="L34" s="9">
        <v>126.1</v>
      </c>
      <c r="M34" s="9">
        <v>119.9</v>
      </c>
      <c r="N34" s="9">
        <v>120.1</v>
      </c>
      <c r="O34" s="9">
        <v>124.4</v>
      </c>
      <c r="P34" s="9">
        <v>119</v>
      </c>
      <c r="Q34" s="9">
        <v>112.7</v>
      </c>
      <c r="R34" s="9">
        <v>116.93333333333334</v>
      </c>
      <c r="S34" s="9">
        <v>123.6</v>
      </c>
    </row>
    <row r="35" spans="5:19" ht="14.4" x14ac:dyDescent="0.3">
      <c r="E35" s="2" t="s">
        <v>34</v>
      </c>
      <c r="F35" s="2">
        <v>2015</v>
      </c>
      <c r="G35" s="2" t="s">
        <v>41</v>
      </c>
      <c r="H35" s="3">
        <v>42217</v>
      </c>
      <c r="I35" s="2" t="str">
        <f t="shared" si="0"/>
        <v>Pre-Covid</v>
      </c>
      <c r="J35" s="9">
        <v>130.30000000000001</v>
      </c>
      <c r="K35" s="9">
        <v>131.19999999999999</v>
      </c>
      <c r="L35" s="9">
        <v>126.6</v>
      </c>
      <c r="M35" s="9">
        <v>120.9</v>
      </c>
      <c r="N35" s="9">
        <v>120.6</v>
      </c>
      <c r="O35" s="9">
        <v>125.1</v>
      </c>
      <c r="P35" s="9">
        <v>119.4</v>
      </c>
      <c r="Q35" s="9">
        <v>111.7</v>
      </c>
      <c r="R35" s="9">
        <v>117.36666666666667</v>
      </c>
      <c r="S35" s="9">
        <v>124.8</v>
      </c>
    </row>
    <row r="36" spans="5:19" ht="14.4" x14ac:dyDescent="0.3">
      <c r="E36" s="2" t="s">
        <v>34</v>
      </c>
      <c r="F36" s="2">
        <v>2015</v>
      </c>
      <c r="G36" s="2" t="s">
        <v>42</v>
      </c>
      <c r="H36" s="3">
        <v>42248</v>
      </c>
      <c r="I36" s="2" t="str">
        <f t="shared" ref="I36:I67" si="1">IF(H36&lt;DATE(2020,3,1),"Pre-Covid","Post-Covid")</f>
        <v>Pre-Covid</v>
      </c>
      <c r="J36" s="9">
        <v>131.19999999999999</v>
      </c>
      <c r="K36" s="9">
        <v>132</v>
      </c>
      <c r="L36" s="9">
        <v>127.2</v>
      </c>
      <c r="M36" s="9">
        <v>121.6</v>
      </c>
      <c r="N36" s="9">
        <v>120.4</v>
      </c>
      <c r="O36" s="9">
        <v>125.7</v>
      </c>
      <c r="P36" s="9">
        <v>119.8</v>
      </c>
      <c r="Q36" s="9">
        <v>111.3</v>
      </c>
      <c r="R36" s="9">
        <v>118.09999999999998</v>
      </c>
      <c r="S36" s="9">
        <v>125.4</v>
      </c>
    </row>
    <row r="37" spans="5:19" ht="14.4" x14ac:dyDescent="0.3">
      <c r="E37" s="2" t="s">
        <v>34</v>
      </c>
      <c r="F37" s="2">
        <v>2015</v>
      </c>
      <c r="G37" s="2" t="s">
        <v>43</v>
      </c>
      <c r="H37" s="3">
        <v>42278</v>
      </c>
      <c r="I37" s="2" t="str">
        <f t="shared" si="1"/>
        <v>Pre-Covid</v>
      </c>
      <c r="J37" s="9">
        <v>132.1</v>
      </c>
      <c r="K37" s="9">
        <v>132.5</v>
      </c>
      <c r="L37" s="9">
        <v>127.8</v>
      </c>
      <c r="M37" s="9">
        <v>122.4</v>
      </c>
      <c r="N37" s="9">
        <v>120.8</v>
      </c>
      <c r="O37" s="9">
        <v>125.9</v>
      </c>
      <c r="P37" s="9">
        <v>120.4</v>
      </c>
      <c r="Q37" s="9">
        <v>111.4</v>
      </c>
      <c r="R37" s="9">
        <v>118.53333333333335</v>
      </c>
      <c r="S37" s="9">
        <v>126.1</v>
      </c>
    </row>
    <row r="38" spans="5:19" ht="14.4" x14ac:dyDescent="0.3">
      <c r="E38" s="2" t="s">
        <v>34</v>
      </c>
      <c r="F38" s="2">
        <v>2015</v>
      </c>
      <c r="G38" s="2" t="s">
        <v>44</v>
      </c>
      <c r="H38" s="3">
        <v>42309</v>
      </c>
      <c r="I38" s="2" t="str">
        <f t="shared" si="1"/>
        <v>Pre-Covid</v>
      </c>
      <c r="J38" s="9">
        <v>132.69999999999999</v>
      </c>
      <c r="K38" s="9">
        <v>133.6</v>
      </c>
      <c r="L38" s="9">
        <v>128.6</v>
      </c>
      <c r="M38" s="9">
        <v>122.9</v>
      </c>
      <c r="N38" s="9">
        <v>121.6</v>
      </c>
      <c r="O38" s="9">
        <v>126.3</v>
      </c>
      <c r="P38" s="9">
        <v>120.9</v>
      </c>
      <c r="Q38" s="9">
        <v>111.5</v>
      </c>
      <c r="R38" s="9">
        <v>118.80000000000001</v>
      </c>
      <c r="S38" s="9">
        <v>126.6</v>
      </c>
    </row>
    <row r="39" spans="5:19" ht="14.4" x14ac:dyDescent="0.3">
      <c r="E39" s="2" t="s">
        <v>34</v>
      </c>
      <c r="F39" s="2">
        <v>2015</v>
      </c>
      <c r="G39" s="2" t="s">
        <v>45</v>
      </c>
      <c r="H39" s="3">
        <v>42339</v>
      </c>
      <c r="I39" s="2" t="str">
        <f t="shared" si="1"/>
        <v>Pre-Covid</v>
      </c>
      <c r="J39" s="9">
        <v>131.4</v>
      </c>
      <c r="K39" s="9">
        <v>134.5</v>
      </c>
      <c r="L39" s="9">
        <v>129</v>
      </c>
      <c r="M39" s="9">
        <v>122.4</v>
      </c>
      <c r="N39" s="9">
        <v>122</v>
      </c>
      <c r="O39" s="9">
        <v>126.2</v>
      </c>
      <c r="P39" s="9">
        <v>121.4</v>
      </c>
      <c r="Q39" s="9">
        <v>111.5</v>
      </c>
      <c r="R39" s="9">
        <v>118.96666666666665</v>
      </c>
      <c r="S39" s="9">
        <v>126.1</v>
      </c>
    </row>
    <row r="40" spans="5:19" ht="14.4" x14ac:dyDescent="0.3">
      <c r="E40" s="2" t="s">
        <v>34</v>
      </c>
      <c r="F40" s="2">
        <v>2016</v>
      </c>
      <c r="G40" s="2" t="s">
        <v>31</v>
      </c>
      <c r="H40" s="3">
        <v>42370</v>
      </c>
      <c r="I40" s="2" t="str">
        <f t="shared" si="1"/>
        <v>Pre-Covid</v>
      </c>
      <c r="J40" s="9">
        <v>131.30000000000001</v>
      </c>
      <c r="K40" s="9">
        <v>135.19999999999999</v>
      </c>
      <c r="L40" s="9">
        <v>129.5</v>
      </c>
      <c r="M40" s="9">
        <v>123.4</v>
      </c>
      <c r="N40" s="9">
        <v>122.7</v>
      </c>
      <c r="O40" s="9">
        <v>126.3</v>
      </c>
      <c r="P40" s="9">
        <v>122</v>
      </c>
      <c r="Q40" s="9">
        <v>111.1</v>
      </c>
      <c r="R40" s="9">
        <v>119.5</v>
      </c>
      <c r="S40" s="9">
        <v>126.3</v>
      </c>
    </row>
    <row r="41" spans="5:19" ht="14.4" x14ac:dyDescent="0.3">
      <c r="E41" s="2" t="s">
        <v>34</v>
      </c>
      <c r="F41" s="2">
        <v>2016</v>
      </c>
      <c r="G41" s="2" t="s">
        <v>35</v>
      </c>
      <c r="H41" s="3">
        <v>42401</v>
      </c>
      <c r="I41" s="2" t="str">
        <f t="shared" si="1"/>
        <v>Pre-Covid</v>
      </c>
      <c r="J41" s="9">
        <v>129.9</v>
      </c>
      <c r="K41" s="9">
        <v>135.9</v>
      </c>
      <c r="L41" s="9">
        <v>130.19999999999999</v>
      </c>
      <c r="M41" s="9">
        <v>124.4</v>
      </c>
      <c r="N41" s="9">
        <v>123.1</v>
      </c>
      <c r="O41" s="9">
        <v>126.6</v>
      </c>
      <c r="P41" s="9">
        <v>122.5</v>
      </c>
      <c r="Q41" s="9">
        <v>111.4</v>
      </c>
      <c r="R41" s="9">
        <v>120.5</v>
      </c>
      <c r="S41" s="9">
        <v>126</v>
      </c>
    </row>
    <row r="42" spans="5:19" ht="14.4" x14ac:dyDescent="0.3">
      <c r="E42" s="2" t="s">
        <v>34</v>
      </c>
      <c r="F42" s="2">
        <v>2016</v>
      </c>
      <c r="G42" s="2" t="s">
        <v>36</v>
      </c>
      <c r="H42" s="3">
        <v>42430</v>
      </c>
      <c r="I42" s="2" t="str">
        <f t="shared" si="1"/>
        <v>Pre-Covid</v>
      </c>
      <c r="J42" s="9">
        <v>129.80000000000001</v>
      </c>
      <c r="K42" s="9">
        <v>136.5</v>
      </c>
      <c r="L42" s="9">
        <v>130.5</v>
      </c>
      <c r="M42" s="9">
        <v>124.9</v>
      </c>
      <c r="N42" s="9">
        <v>122.4</v>
      </c>
      <c r="O42" s="9">
        <v>126.9</v>
      </c>
      <c r="P42" s="9">
        <v>122.9</v>
      </c>
      <c r="Q42" s="9">
        <v>110.9</v>
      </c>
      <c r="R42" s="9">
        <v>121</v>
      </c>
      <c r="S42" s="9">
        <v>126</v>
      </c>
    </row>
    <row r="43" spans="5:19" ht="14.4" x14ac:dyDescent="0.3">
      <c r="E43" s="2" t="s">
        <v>34</v>
      </c>
      <c r="F43" s="2">
        <v>2016</v>
      </c>
      <c r="G43" s="2" t="s">
        <v>37</v>
      </c>
      <c r="H43" s="3">
        <v>42461</v>
      </c>
      <c r="I43" s="2" t="str">
        <f t="shared" si="1"/>
        <v>Pre-Covid</v>
      </c>
      <c r="J43" s="9">
        <v>131.80000000000001</v>
      </c>
      <c r="K43" s="9">
        <v>137.1</v>
      </c>
      <c r="L43" s="9">
        <v>131</v>
      </c>
      <c r="M43" s="9">
        <v>125.6</v>
      </c>
      <c r="N43" s="9">
        <v>122.3</v>
      </c>
      <c r="O43" s="9">
        <v>127.7</v>
      </c>
      <c r="P43" s="9">
        <v>123.2</v>
      </c>
      <c r="Q43" s="9">
        <v>112.1</v>
      </c>
      <c r="R43" s="9">
        <v>121.56666666666666</v>
      </c>
      <c r="S43" s="9">
        <v>127.3</v>
      </c>
    </row>
    <row r="44" spans="5:19" ht="14.4" x14ac:dyDescent="0.3">
      <c r="E44" s="2" t="s">
        <v>34</v>
      </c>
      <c r="F44" s="2">
        <v>2016</v>
      </c>
      <c r="G44" s="2" t="s">
        <v>38</v>
      </c>
      <c r="H44" s="3">
        <v>42491</v>
      </c>
      <c r="I44" s="2" t="str">
        <f t="shared" si="1"/>
        <v>Pre-Covid</v>
      </c>
      <c r="J44" s="9">
        <v>134</v>
      </c>
      <c r="K44" s="9">
        <v>137.69999999999999</v>
      </c>
      <c r="L44" s="9">
        <v>131.4</v>
      </c>
      <c r="M44" s="9">
        <v>126</v>
      </c>
      <c r="N44" s="9">
        <v>122.7</v>
      </c>
      <c r="O44" s="9">
        <v>128.5</v>
      </c>
      <c r="P44" s="9">
        <v>123.7</v>
      </c>
      <c r="Q44" s="9">
        <v>112.8</v>
      </c>
      <c r="R44" s="9">
        <v>122.23333333333333</v>
      </c>
      <c r="S44" s="9">
        <v>128.6</v>
      </c>
    </row>
    <row r="45" spans="5:19" ht="14.4" x14ac:dyDescent="0.3">
      <c r="E45" s="2" t="s">
        <v>34</v>
      </c>
      <c r="F45" s="2">
        <v>2016</v>
      </c>
      <c r="G45" s="2" t="s">
        <v>39</v>
      </c>
      <c r="H45" s="3">
        <v>42522</v>
      </c>
      <c r="I45" s="2" t="str">
        <f t="shared" si="1"/>
        <v>Pre-Covid</v>
      </c>
      <c r="J45" s="9">
        <v>136.80000000000001</v>
      </c>
      <c r="K45" s="9">
        <v>138.69999999999999</v>
      </c>
      <c r="L45" s="9">
        <v>132</v>
      </c>
      <c r="M45" s="9">
        <v>125.5</v>
      </c>
      <c r="N45" s="9">
        <v>123.3</v>
      </c>
      <c r="O45" s="9">
        <v>129.69999999999999</v>
      </c>
      <c r="P45" s="9">
        <v>124.1</v>
      </c>
      <c r="Q45" s="9">
        <v>114.2</v>
      </c>
      <c r="R45" s="9">
        <v>122.5</v>
      </c>
      <c r="S45" s="9">
        <v>130.1</v>
      </c>
    </row>
    <row r="46" spans="5:19" ht="14.4" x14ac:dyDescent="0.3">
      <c r="E46" s="2" t="s">
        <v>34</v>
      </c>
      <c r="F46" s="2">
        <v>2016</v>
      </c>
      <c r="G46" s="2" t="s">
        <v>40</v>
      </c>
      <c r="H46" s="3">
        <v>42552</v>
      </c>
      <c r="I46" s="2" t="str">
        <f t="shared" si="1"/>
        <v>Pre-Covid</v>
      </c>
      <c r="J46" s="9">
        <v>138.4</v>
      </c>
      <c r="K46" s="9">
        <v>139.30000000000001</v>
      </c>
      <c r="L46" s="9">
        <v>132.69999999999999</v>
      </c>
      <c r="M46" s="9">
        <v>126.4</v>
      </c>
      <c r="N46" s="9">
        <v>123.4</v>
      </c>
      <c r="O46" s="9">
        <v>130.80000000000001</v>
      </c>
      <c r="P46" s="9">
        <v>124.5</v>
      </c>
      <c r="Q46" s="9">
        <v>113.9</v>
      </c>
      <c r="R46" s="9">
        <v>123.26666666666667</v>
      </c>
      <c r="S46" s="9">
        <v>131.1</v>
      </c>
    </row>
    <row r="47" spans="5:19" ht="14.4" x14ac:dyDescent="0.3">
      <c r="E47" s="2" t="s">
        <v>34</v>
      </c>
      <c r="F47" s="2">
        <v>2016</v>
      </c>
      <c r="G47" s="2" t="s">
        <v>41</v>
      </c>
      <c r="H47" s="3">
        <v>42583</v>
      </c>
      <c r="I47" s="2" t="str">
        <f t="shared" si="1"/>
        <v>Pre-Covid</v>
      </c>
      <c r="J47" s="9">
        <v>137.9</v>
      </c>
      <c r="K47" s="9">
        <v>140.19999999999999</v>
      </c>
      <c r="L47" s="9">
        <v>133.19999999999999</v>
      </c>
      <c r="M47" s="9">
        <v>127.3</v>
      </c>
      <c r="N47" s="9">
        <v>123.6</v>
      </c>
      <c r="O47" s="9">
        <v>131.69999999999999</v>
      </c>
      <c r="P47" s="9">
        <v>124.8</v>
      </c>
      <c r="Q47" s="9">
        <v>113.1</v>
      </c>
      <c r="R47" s="9">
        <v>123.86666666666667</v>
      </c>
      <c r="S47" s="9">
        <v>131.1</v>
      </c>
    </row>
    <row r="48" spans="5:19" ht="14.4" x14ac:dyDescent="0.3">
      <c r="E48" s="2" t="s">
        <v>34</v>
      </c>
      <c r="F48" s="2">
        <v>2016</v>
      </c>
      <c r="G48" s="2" t="s">
        <v>42</v>
      </c>
      <c r="H48" s="3">
        <v>42614</v>
      </c>
      <c r="I48" s="2" t="str">
        <f t="shared" si="1"/>
        <v>Pre-Covid</v>
      </c>
      <c r="J48" s="9">
        <v>136.6</v>
      </c>
      <c r="K48" s="9">
        <v>141</v>
      </c>
      <c r="L48" s="9">
        <v>133.80000000000001</v>
      </c>
      <c r="M48" s="9">
        <v>127.9</v>
      </c>
      <c r="N48" s="9">
        <v>124.1</v>
      </c>
      <c r="O48" s="9">
        <v>131.80000000000001</v>
      </c>
      <c r="P48" s="9">
        <v>125.4</v>
      </c>
      <c r="Q48" s="9">
        <v>114.3</v>
      </c>
      <c r="R48" s="9">
        <v>124.3</v>
      </c>
      <c r="S48" s="9">
        <v>130.9</v>
      </c>
    </row>
    <row r="49" spans="5:19" ht="14.4" x14ac:dyDescent="0.3">
      <c r="E49" s="2" t="s">
        <v>34</v>
      </c>
      <c r="F49" s="2">
        <v>2016</v>
      </c>
      <c r="G49" s="2" t="s">
        <v>43</v>
      </c>
      <c r="H49" s="3">
        <v>42644</v>
      </c>
      <c r="I49" s="2" t="str">
        <f t="shared" si="1"/>
        <v>Pre-Covid</v>
      </c>
      <c r="J49" s="9">
        <v>137</v>
      </c>
      <c r="K49" s="9">
        <v>141.80000000000001</v>
      </c>
      <c r="L49" s="9">
        <v>134.5</v>
      </c>
      <c r="M49" s="9">
        <v>128.69999999999999</v>
      </c>
      <c r="N49" s="9">
        <v>124.3</v>
      </c>
      <c r="O49" s="9">
        <v>132.4</v>
      </c>
      <c r="P49" s="9">
        <v>126.1</v>
      </c>
      <c r="Q49" s="9">
        <v>115.2</v>
      </c>
      <c r="R49" s="9">
        <v>124.66666666666667</v>
      </c>
      <c r="S49" s="9">
        <v>131.4</v>
      </c>
    </row>
    <row r="50" spans="5:19" ht="14.4" x14ac:dyDescent="0.3">
      <c r="E50" s="2" t="s">
        <v>34</v>
      </c>
      <c r="F50" s="2">
        <v>2016</v>
      </c>
      <c r="G50" s="2" t="s">
        <v>44</v>
      </c>
      <c r="H50" s="3">
        <v>42675</v>
      </c>
      <c r="I50" s="2" t="str">
        <f t="shared" si="1"/>
        <v>Pre-Covid</v>
      </c>
      <c r="J50" s="9">
        <v>136.1</v>
      </c>
      <c r="K50" s="9">
        <v>142</v>
      </c>
      <c r="L50" s="9">
        <v>135</v>
      </c>
      <c r="M50" s="9">
        <v>129.1</v>
      </c>
      <c r="N50" s="9">
        <v>125</v>
      </c>
      <c r="O50" s="9">
        <v>132.80000000000001</v>
      </c>
      <c r="P50" s="9">
        <v>126.4</v>
      </c>
      <c r="Q50" s="9">
        <v>115.7</v>
      </c>
      <c r="R50" s="9">
        <v>125.06666666666666</v>
      </c>
      <c r="S50" s="9">
        <v>131.19999999999999</v>
      </c>
    </row>
    <row r="51" spans="5:19" ht="14.4" x14ac:dyDescent="0.3">
      <c r="E51" s="2" t="s">
        <v>34</v>
      </c>
      <c r="F51" s="2">
        <v>2016</v>
      </c>
      <c r="G51" s="2" t="s">
        <v>45</v>
      </c>
      <c r="H51" s="3">
        <v>42705</v>
      </c>
      <c r="I51" s="2" t="str">
        <f t="shared" si="1"/>
        <v>Pre-Covid</v>
      </c>
      <c r="J51" s="9">
        <v>134</v>
      </c>
      <c r="K51" s="9">
        <v>143.1</v>
      </c>
      <c r="L51" s="9">
        <v>135.4</v>
      </c>
      <c r="M51" s="9">
        <v>128.5</v>
      </c>
      <c r="N51" s="9">
        <v>126.6</v>
      </c>
      <c r="O51" s="9">
        <v>133.1</v>
      </c>
      <c r="P51" s="9">
        <v>126.9</v>
      </c>
      <c r="Q51" s="9">
        <v>116</v>
      </c>
      <c r="R51" s="9">
        <v>124.83333333333333</v>
      </c>
      <c r="S51" s="9">
        <v>130.4</v>
      </c>
    </row>
    <row r="52" spans="5:19" ht="14.4" x14ac:dyDescent="0.3">
      <c r="E52" s="2" t="s">
        <v>34</v>
      </c>
      <c r="F52" s="2">
        <v>2017</v>
      </c>
      <c r="G52" s="2" t="s">
        <v>31</v>
      </c>
      <c r="H52" s="3">
        <v>42736</v>
      </c>
      <c r="I52" s="2" t="str">
        <f t="shared" si="1"/>
        <v>Pre-Covid</v>
      </c>
      <c r="J52" s="9">
        <v>133.1</v>
      </c>
      <c r="K52" s="9">
        <v>143.80000000000001</v>
      </c>
      <c r="L52" s="9">
        <v>135.6</v>
      </c>
      <c r="M52" s="9">
        <v>129.6</v>
      </c>
      <c r="N52" s="9">
        <v>126.8</v>
      </c>
      <c r="O52" s="9">
        <v>133.30000000000001</v>
      </c>
      <c r="P52" s="9">
        <v>127.1</v>
      </c>
      <c r="Q52" s="9">
        <v>117</v>
      </c>
      <c r="R52" s="9">
        <v>125.10000000000001</v>
      </c>
      <c r="S52" s="9">
        <v>130.30000000000001</v>
      </c>
    </row>
    <row r="53" spans="5:19" ht="14.4" x14ac:dyDescent="0.3">
      <c r="E53" s="2" t="s">
        <v>34</v>
      </c>
      <c r="F53" s="2">
        <v>2017</v>
      </c>
      <c r="G53" s="2" t="s">
        <v>35</v>
      </c>
      <c r="H53" s="3">
        <v>42767</v>
      </c>
      <c r="I53" s="2" t="str">
        <f t="shared" si="1"/>
        <v>Pre-Covid</v>
      </c>
      <c r="J53" s="9">
        <v>133</v>
      </c>
      <c r="K53" s="9">
        <v>144.4</v>
      </c>
      <c r="L53" s="9">
        <v>135.9</v>
      </c>
      <c r="M53" s="9">
        <v>130.5</v>
      </c>
      <c r="N53" s="9">
        <v>127.9</v>
      </c>
      <c r="O53" s="9">
        <v>133.4</v>
      </c>
      <c r="P53" s="9">
        <v>127.4</v>
      </c>
      <c r="Q53" s="9">
        <v>117.4</v>
      </c>
      <c r="R53" s="9">
        <v>125.63333333333333</v>
      </c>
      <c r="S53" s="9">
        <v>130.6</v>
      </c>
    </row>
    <row r="54" spans="5:19" ht="14.4" x14ac:dyDescent="0.3">
      <c r="E54" s="2" t="s">
        <v>34</v>
      </c>
      <c r="F54" s="2">
        <v>2017</v>
      </c>
      <c r="G54" s="2" t="s">
        <v>36</v>
      </c>
      <c r="H54" s="3">
        <v>42795</v>
      </c>
      <c r="I54" s="2" t="str">
        <f t="shared" si="1"/>
        <v>Pre-Covid</v>
      </c>
      <c r="J54" s="9">
        <v>133.1</v>
      </c>
      <c r="K54" s="9">
        <v>145.1</v>
      </c>
      <c r="L54" s="9">
        <v>136.4</v>
      </c>
      <c r="M54" s="9">
        <v>131.1</v>
      </c>
      <c r="N54" s="9">
        <v>129.1</v>
      </c>
      <c r="O54" s="9">
        <v>133.80000000000001</v>
      </c>
      <c r="P54" s="9">
        <v>127.8</v>
      </c>
      <c r="Q54" s="9">
        <v>117.6</v>
      </c>
      <c r="R54" s="9">
        <v>125.89999999999999</v>
      </c>
      <c r="S54" s="9">
        <v>130.9</v>
      </c>
    </row>
    <row r="55" spans="5:19" ht="14.4" x14ac:dyDescent="0.3">
      <c r="E55" s="2" t="s">
        <v>34</v>
      </c>
      <c r="F55" s="2">
        <v>2017</v>
      </c>
      <c r="G55" s="2" t="s">
        <v>37</v>
      </c>
      <c r="H55" s="3">
        <v>42826</v>
      </c>
      <c r="I55" s="2" t="str">
        <f t="shared" si="1"/>
        <v>Pre-Covid</v>
      </c>
      <c r="J55" s="9">
        <v>133.5</v>
      </c>
      <c r="K55" s="9">
        <v>145.4</v>
      </c>
      <c r="L55" s="9">
        <v>137</v>
      </c>
      <c r="M55" s="9">
        <v>131.69999999999999</v>
      </c>
      <c r="N55" s="9">
        <v>129.80000000000001</v>
      </c>
      <c r="O55" s="9">
        <v>134.5</v>
      </c>
      <c r="P55" s="9">
        <v>128.1</v>
      </c>
      <c r="Q55" s="9">
        <v>116.6</v>
      </c>
      <c r="R55" s="9">
        <v>126.2</v>
      </c>
      <c r="S55" s="9">
        <v>131.1</v>
      </c>
    </row>
    <row r="56" spans="5:19" ht="14.4" x14ac:dyDescent="0.3">
      <c r="E56" s="2" t="s">
        <v>34</v>
      </c>
      <c r="F56" s="2">
        <v>2017</v>
      </c>
      <c r="G56" s="2" t="s">
        <v>38</v>
      </c>
      <c r="H56" s="3">
        <v>42856</v>
      </c>
      <c r="I56" s="2" t="str">
        <f t="shared" si="1"/>
        <v>Pre-Covid</v>
      </c>
      <c r="J56" s="9">
        <v>133.69999999999999</v>
      </c>
      <c r="K56" s="9">
        <v>146.19999999999999</v>
      </c>
      <c r="L56" s="9">
        <v>137.19999999999999</v>
      </c>
      <c r="M56" s="9">
        <v>132.1</v>
      </c>
      <c r="N56" s="9">
        <v>129.4</v>
      </c>
      <c r="O56" s="9">
        <v>134.80000000000001</v>
      </c>
      <c r="P56" s="9">
        <v>128.4</v>
      </c>
      <c r="Q56" s="9">
        <v>116.7</v>
      </c>
      <c r="R56" s="9">
        <v>126.53333333333335</v>
      </c>
      <c r="S56" s="9">
        <v>131.4</v>
      </c>
    </row>
    <row r="57" spans="5:19" ht="14.4" x14ac:dyDescent="0.3">
      <c r="E57" s="2" t="s">
        <v>34</v>
      </c>
      <c r="F57" s="2">
        <v>2017</v>
      </c>
      <c r="G57" s="2" t="s">
        <v>39</v>
      </c>
      <c r="H57" s="3">
        <v>42887</v>
      </c>
      <c r="I57" s="2" t="str">
        <f t="shared" si="1"/>
        <v>Pre-Covid</v>
      </c>
      <c r="J57" s="9">
        <v>135.19999999999999</v>
      </c>
      <c r="K57" s="9">
        <v>146.5</v>
      </c>
      <c r="L57" s="9">
        <v>137.5</v>
      </c>
      <c r="M57" s="9">
        <v>131.4</v>
      </c>
      <c r="N57" s="9">
        <v>128.80000000000001</v>
      </c>
      <c r="O57" s="9">
        <v>135.4</v>
      </c>
      <c r="P57" s="9">
        <v>128.5</v>
      </c>
      <c r="Q57" s="9">
        <v>116.5</v>
      </c>
      <c r="R57" s="9">
        <v>126.83333333333333</v>
      </c>
      <c r="S57" s="9">
        <v>132</v>
      </c>
    </row>
    <row r="58" spans="5:19" ht="14.4" x14ac:dyDescent="0.3">
      <c r="E58" s="2" t="s">
        <v>34</v>
      </c>
      <c r="F58" s="2">
        <v>2017</v>
      </c>
      <c r="G58" s="2" t="s">
        <v>40</v>
      </c>
      <c r="H58" s="3">
        <v>42917</v>
      </c>
      <c r="I58" s="2" t="str">
        <f t="shared" si="1"/>
        <v>Pre-Covid</v>
      </c>
      <c r="J58" s="9">
        <v>139</v>
      </c>
      <c r="K58" s="9">
        <v>148.19999999999999</v>
      </c>
      <c r="L58" s="9">
        <v>138.30000000000001</v>
      </c>
      <c r="M58" s="9">
        <v>132.6</v>
      </c>
      <c r="N58" s="9">
        <v>129.4</v>
      </c>
      <c r="O58" s="9">
        <v>136.80000000000001</v>
      </c>
      <c r="P58" s="9">
        <v>129.4</v>
      </c>
      <c r="Q58" s="9">
        <v>116</v>
      </c>
      <c r="R58" s="9">
        <v>127.36666666666667</v>
      </c>
      <c r="S58" s="9">
        <v>134.19999999999999</v>
      </c>
    </row>
    <row r="59" spans="5:19" ht="14.4" x14ac:dyDescent="0.3">
      <c r="E59" s="2" t="s">
        <v>34</v>
      </c>
      <c r="F59" s="2">
        <v>2017</v>
      </c>
      <c r="G59" s="2" t="s">
        <v>41</v>
      </c>
      <c r="H59" s="3">
        <v>42948</v>
      </c>
      <c r="I59" s="2" t="str">
        <f t="shared" si="1"/>
        <v>Pre-Covid</v>
      </c>
      <c r="J59" s="9">
        <v>140.6</v>
      </c>
      <c r="K59" s="9">
        <v>149.80000000000001</v>
      </c>
      <c r="L59" s="9">
        <v>139.30000000000001</v>
      </c>
      <c r="M59" s="9">
        <v>134.4</v>
      </c>
      <c r="N59" s="9">
        <v>129.80000000000001</v>
      </c>
      <c r="O59" s="9">
        <v>137.6</v>
      </c>
      <c r="P59" s="9">
        <v>130.19999999999999</v>
      </c>
      <c r="Q59" s="9">
        <v>117.3</v>
      </c>
      <c r="R59" s="9">
        <v>128.20000000000002</v>
      </c>
      <c r="S59" s="9">
        <v>135.4</v>
      </c>
    </row>
    <row r="60" spans="5:19" ht="14.4" x14ac:dyDescent="0.3">
      <c r="E60" s="2" t="s">
        <v>34</v>
      </c>
      <c r="F60" s="2">
        <v>2017</v>
      </c>
      <c r="G60" s="2" t="s">
        <v>42</v>
      </c>
      <c r="H60" s="3">
        <v>42979</v>
      </c>
      <c r="I60" s="2" t="str">
        <f t="shared" si="1"/>
        <v>Pre-Covid</v>
      </c>
      <c r="J60" s="9">
        <v>139</v>
      </c>
      <c r="K60" s="9">
        <v>150.80000000000001</v>
      </c>
      <c r="L60" s="9">
        <v>140</v>
      </c>
      <c r="M60" s="9">
        <v>135.69999999999999</v>
      </c>
      <c r="N60" s="9">
        <v>131</v>
      </c>
      <c r="O60" s="9">
        <v>137.4</v>
      </c>
      <c r="P60" s="9">
        <v>130.6</v>
      </c>
      <c r="Q60" s="9">
        <v>118.3</v>
      </c>
      <c r="R60" s="9">
        <v>128.96666666666667</v>
      </c>
      <c r="S60" s="9">
        <v>135.19999999999999</v>
      </c>
    </row>
    <row r="61" spans="5:19" ht="14.4" x14ac:dyDescent="0.3">
      <c r="E61" s="2" t="s">
        <v>34</v>
      </c>
      <c r="F61" s="2">
        <v>2017</v>
      </c>
      <c r="G61" s="2" t="s">
        <v>43</v>
      </c>
      <c r="H61" s="3">
        <v>43009</v>
      </c>
      <c r="I61" s="2" t="str">
        <f t="shared" si="1"/>
        <v>Pre-Covid</v>
      </c>
      <c r="J61" s="9">
        <v>140.1</v>
      </c>
      <c r="K61" s="9">
        <v>151.6</v>
      </c>
      <c r="L61" s="9">
        <v>140.80000000000001</v>
      </c>
      <c r="M61" s="9">
        <v>137.30000000000001</v>
      </c>
      <c r="N61" s="9">
        <v>132.19999999999999</v>
      </c>
      <c r="O61" s="9">
        <v>137.9</v>
      </c>
      <c r="P61" s="9">
        <v>131.30000000000001</v>
      </c>
      <c r="Q61" s="9">
        <v>117.8</v>
      </c>
      <c r="R61" s="9">
        <v>129.4</v>
      </c>
      <c r="S61" s="9">
        <v>136.1</v>
      </c>
    </row>
    <row r="62" spans="5:19" ht="14.4" x14ac:dyDescent="0.3">
      <c r="E62" s="2" t="s">
        <v>34</v>
      </c>
      <c r="F62" s="2">
        <v>2017</v>
      </c>
      <c r="G62" s="2" t="s">
        <v>44</v>
      </c>
      <c r="H62" s="3">
        <v>43040</v>
      </c>
      <c r="I62" s="2" t="str">
        <f t="shared" si="1"/>
        <v>Pre-Covid</v>
      </c>
      <c r="J62" s="9">
        <v>142.1</v>
      </c>
      <c r="K62" s="9">
        <v>153.19999999999999</v>
      </c>
      <c r="L62" s="9">
        <v>141.80000000000001</v>
      </c>
      <c r="M62" s="9">
        <v>138.6</v>
      </c>
      <c r="N62" s="9">
        <v>135.30000000000001</v>
      </c>
      <c r="O62" s="9">
        <v>138.6</v>
      </c>
      <c r="P62" s="9">
        <v>132.6</v>
      </c>
      <c r="Q62" s="9">
        <v>118.3</v>
      </c>
      <c r="R62" s="9">
        <v>130.03333333333333</v>
      </c>
      <c r="S62" s="9">
        <v>137.6</v>
      </c>
    </row>
    <row r="63" spans="5:19" ht="14.4" x14ac:dyDescent="0.3">
      <c r="E63" s="2" t="s">
        <v>34</v>
      </c>
      <c r="F63" s="2">
        <v>2017</v>
      </c>
      <c r="G63" s="2" t="s">
        <v>45</v>
      </c>
      <c r="H63" s="3">
        <v>43070</v>
      </c>
      <c r="I63" s="2" t="str">
        <f t="shared" si="1"/>
        <v>Pre-Covid</v>
      </c>
      <c r="J63" s="9">
        <v>140.5</v>
      </c>
      <c r="K63" s="9">
        <v>154.19999999999999</v>
      </c>
      <c r="L63" s="9">
        <v>142</v>
      </c>
      <c r="M63" s="9">
        <v>139.1</v>
      </c>
      <c r="N63" s="9">
        <v>136.6</v>
      </c>
      <c r="O63" s="9">
        <v>138.5</v>
      </c>
      <c r="P63" s="9">
        <v>133.1</v>
      </c>
      <c r="Q63" s="9">
        <v>118.5</v>
      </c>
      <c r="R63" s="9">
        <v>130.06666666666666</v>
      </c>
      <c r="S63" s="9">
        <v>137.19999999999999</v>
      </c>
    </row>
    <row r="64" spans="5:19" ht="14.4" x14ac:dyDescent="0.3">
      <c r="E64" s="2" t="s">
        <v>34</v>
      </c>
      <c r="F64" s="2">
        <v>2018</v>
      </c>
      <c r="G64" s="2" t="s">
        <v>31</v>
      </c>
      <c r="H64" s="3">
        <v>43101</v>
      </c>
      <c r="I64" s="2" t="str">
        <f t="shared" si="1"/>
        <v>Pre-Covid</v>
      </c>
      <c r="J64" s="9">
        <v>139.19999999999999</v>
      </c>
      <c r="K64" s="9">
        <v>154.69999999999999</v>
      </c>
      <c r="L64" s="9">
        <v>142.30000000000001</v>
      </c>
      <c r="M64" s="9">
        <v>140.4</v>
      </c>
      <c r="N64" s="9">
        <v>136.6</v>
      </c>
      <c r="O64" s="9">
        <v>139</v>
      </c>
      <c r="P64" s="9">
        <v>133.30000000000001</v>
      </c>
      <c r="Q64" s="9">
        <v>119.3</v>
      </c>
      <c r="R64" s="9">
        <v>130.63333333333335</v>
      </c>
      <c r="S64" s="9">
        <v>136.9</v>
      </c>
    </row>
    <row r="65" spans="5:19" ht="14.4" x14ac:dyDescent="0.3">
      <c r="E65" s="2" t="s">
        <v>34</v>
      </c>
      <c r="F65" s="2">
        <v>2018</v>
      </c>
      <c r="G65" s="2" t="s">
        <v>35</v>
      </c>
      <c r="H65" s="3">
        <v>43132</v>
      </c>
      <c r="I65" s="2" t="str">
        <f t="shared" si="1"/>
        <v>Pre-Covid</v>
      </c>
      <c r="J65" s="9">
        <v>137.6</v>
      </c>
      <c r="K65" s="9">
        <v>154.9</v>
      </c>
      <c r="L65" s="9">
        <v>142.6</v>
      </c>
      <c r="M65" s="9">
        <v>141.30000000000001</v>
      </c>
      <c r="N65" s="9">
        <v>136.69999999999999</v>
      </c>
      <c r="O65" s="9">
        <v>139</v>
      </c>
      <c r="P65" s="9">
        <v>133.80000000000001</v>
      </c>
      <c r="Q65" s="9">
        <v>120.2</v>
      </c>
      <c r="R65" s="9">
        <v>130.93333333333334</v>
      </c>
      <c r="S65" s="9">
        <v>136.4</v>
      </c>
    </row>
    <row r="66" spans="5:19" ht="14.4" x14ac:dyDescent="0.3">
      <c r="E66" s="2" t="s">
        <v>34</v>
      </c>
      <c r="F66" s="2">
        <v>2018</v>
      </c>
      <c r="G66" s="2" t="s">
        <v>36</v>
      </c>
      <c r="H66" s="3">
        <v>43160</v>
      </c>
      <c r="I66" s="2" t="str">
        <f t="shared" si="1"/>
        <v>Pre-Covid</v>
      </c>
      <c r="J66" s="9">
        <v>137.19999999999999</v>
      </c>
      <c r="K66" s="9">
        <v>156.30000000000001</v>
      </c>
      <c r="L66" s="9">
        <v>143.1</v>
      </c>
      <c r="M66" s="9">
        <v>142</v>
      </c>
      <c r="N66" s="9">
        <v>136.5</v>
      </c>
      <c r="O66" s="9">
        <v>139.80000000000001</v>
      </c>
      <c r="P66" s="9">
        <v>134.30000000000001</v>
      </c>
      <c r="Q66" s="9">
        <v>121</v>
      </c>
      <c r="R66" s="9">
        <v>131.4</v>
      </c>
      <c r="S66" s="9">
        <v>136.5</v>
      </c>
    </row>
    <row r="67" spans="5:19" ht="14.4" x14ac:dyDescent="0.3">
      <c r="E67" s="2" t="s">
        <v>34</v>
      </c>
      <c r="F67" s="2">
        <v>2018</v>
      </c>
      <c r="G67" s="2" t="s">
        <v>37</v>
      </c>
      <c r="H67" s="3">
        <v>43191</v>
      </c>
      <c r="I67" s="2" t="str">
        <f t="shared" si="1"/>
        <v>Pre-Covid</v>
      </c>
      <c r="J67" s="9">
        <v>137.5</v>
      </c>
      <c r="K67" s="9">
        <v>156.9</v>
      </c>
      <c r="L67" s="9">
        <v>144</v>
      </c>
      <c r="M67" s="9">
        <v>142.9</v>
      </c>
      <c r="N67" s="9">
        <v>136.5</v>
      </c>
      <c r="O67" s="9">
        <v>141.4</v>
      </c>
      <c r="P67" s="9">
        <v>135.19999999999999</v>
      </c>
      <c r="Q67" s="9">
        <v>121.9</v>
      </c>
      <c r="R67" s="9">
        <v>132.36666666666665</v>
      </c>
      <c r="S67" s="9">
        <v>137.1</v>
      </c>
    </row>
    <row r="68" spans="5:19" ht="14.4" x14ac:dyDescent="0.3">
      <c r="E68" s="2" t="s">
        <v>34</v>
      </c>
      <c r="F68" s="2">
        <v>2018</v>
      </c>
      <c r="G68" s="2" t="s">
        <v>38</v>
      </c>
      <c r="H68" s="3">
        <v>43221</v>
      </c>
      <c r="I68" s="2" t="str">
        <f t="shared" ref="I68:I99" si="2">IF(H68&lt;DATE(2020,3,1),"Pre-Covid","Post-Covid")</f>
        <v>Pre-Covid</v>
      </c>
      <c r="J68" s="9">
        <v>138.1</v>
      </c>
      <c r="K68" s="9">
        <v>157.9</v>
      </c>
      <c r="L68" s="9">
        <v>144.69999999999999</v>
      </c>
      <c r="M68" s="9">
        <v>143.19999999999999</v>
      </c>
      <c r="N68" s="9">
        <v>136.9</v>
      </c>
      <c r="O68" s="9">
        <v>142.1</v>
      </c>
      <c r="P68" s="9">
        <v>136</v>
      </c>
      <c r="Q68" s="9">
        <v>122.9</v>
      </c>
      <c r="R68" s="9">
        <v>133.03333333333333</v>
      </c>
      <c r="S68" s="9">
        <v>137.80000000000001</v>
      </c>
    </row>
    <row r="69" spans="5:19" ht="14.4" x14ac:dyDescent="0.3">
      <c r="E69" s="2" t="s">
        <v>34</v>
      </c>
      <c r="F69" s="2">
        <v>2018</v>
      </c>
      <c r="G69" s="2" t="s">
        <v>39</v>
      </c>
      <c r="H69" s="3">
        <v>43252</v>
      </c>
      <c r="I69" s="2" t="str">
        <f t="shared" si="2"/>
        <v>Pre-Covid</v>
      </c>
      <c r="J69" s="9">
        <v>139.4</v>
      </c>
      <c r="K69" s="9">
        <v>158.30000000000001</v>
      </c>
      <c r="L69" s="9">
        <v>145.19999999999999</v>
      </c>
      <c r="M69" s="9">
        <v>142.5</v>
      </c>
      <c r="N69" s="9">
        <v>138.1</v>
      </c>
      <c r="O69" s="9">
        <v>142.80000000000001</v>
      </c>
      <c r="P69" s="9">
        <v>136.19999999999999</v>
      </c>
      <c r="Q69" s="9">
        <v>123.7</v>
      </c>
      <c r="R69" s="9">
        <v>133.53333333333333</v>
      </c>
      <c r="S69" s="9">
        <v>138.5</v>
      </c>
    </row>
    <row r="70" spans="5:19" ht="14.4" x14ac:dyDescent="0.3">
      <c r="E70" s="2" t="s">
        <v>34</v>
      </c>
      <c r="F70" s="2">
        <v>2018</v>
      </c>
      <c r="G70" s="2" t="s">
        <v>40</v>
      </c>
      <c r="H70" s="3">
        <v>43282</v>
      </c>
      <c r="I70" s="2" t="str">
        <f t="shared" si="2"/>
        <v>Pre-Covid</v>
      </c>
      <c r="J70" s="9">
        <v>141.4</v>
      </c>
      <c r="K70" s="9">
        <v>157.5</v>
      </c>
      <c r="L70" s="9">
        <v>145.6</v>
      </c>
      <c r="M70" s="9">
        <v>143.6</v>
      </c>
      <c r="N70" s="9">
        <v>139.69999999999999</v>
      </c>
      <c r="O70" s="9">
        <v>144.69999999999999</v>
      </c>
      <c r="P70" s="9">
        <v>137</v>
      </c>
      <c r="Q70" s="9">
        <v>123.6</v>
      </c>
      <c r="R70" s="9">
        <v>133.93333333333331</v>
      </c>
      <c r="S70" s="9">
        <v>139.80000000000001</v>
      </c>
    </row>
    <row r="71" spans="5:19" ht="14.4" x14ac:dyDescent="0.3">
      <c r="E71" s="2" t="s">
        <v>34</v>
      </c>
      <c r="F71" s="2">
        <v>2018</v>
      </c>
      <c r="G71" s="2" t="s">
        <v>41</v>
      </c>
      <c r="H71" s="3">
        <v>43313</v>
      </c>
      <c r="I71" s="2" t="str">
        <f t="shared" si="2"/>
        <v>Pre-Covid</v>
      </c>
      <c r="J71" s="9">
        <v>141.69999999999999</v>
      </c>
      <c r="K71" s="9">
        <v>157.9</v>
      </c>
      <c r="L71" s="9">
        <v>146.1</v>
      </c>
      <c r="M71" s="9">
        <v>144.6</v>
      </c>
      <c r="N71" s="9">
        <v>140.9</v>
      </c>
      <c r="O71" s="9">
        <v>146</v>
      </c>
      <c r="P71" s="9">
        <v>137.69999999999999</v>
      </c>
      <c r="Q71" s="9">
        <v>124.3</v>
      </c>
      <c r="R71" s="9">
        <v>134.36666666666667</v>
      </c>
      <c r="S71" s="9">
        <v>140.4</v>
      </c>
    </row>
    <row r="72" spans="5:19" ht="14.4" x14ac:dyDescent="0.3">
      <c r="E72" s="2" t="s">
        <v>34</v>
      </c>
      <c r="F72" s="2">
        <v>2018</v>
      </c>
      <c r="G72" s="2" t="s">
        <v>42</v>
      </c>
      <c r="H72" s="3">
        <v>43344</v>
      </c>
      <c r="I72" s="2" t="str">
        <f t="shared" si="2"/>
        <v>Pre-Covid</v>
      </c>
      <c r="J72" s="9">
        <v>140.4</v>
      </c>
      <c r="K72" s="9">
        <v>159.19999999999999</v>
      </c>
      <c r="L72" s="9">
        <v>146.5</v>
      </c>
      <c r="M72" s="9">
        <v>145.30000000000001</v>
      </c>
      <c r="N72" s="9">
        <v>142.30000000000001</v>
      </c>
      <c r="O72" s="9">
        <v>146.19999999999999</v>
      </c>
      <c r="P72" s="9">
        <v>138.4</v>
      </c>
      <c r="Q72" s="9">
        <v>126</v>
      </c>
      <c r="R72" s="9">
        <v>135.03333333333333</v>
      </c>
      <c r="S72" s="9">
        <v>140.19999999999999</v>
      </c>
    </row>
    <row r="73" spans="5:19" ht="14.4" x14ac:dyDescent="0.3">
      <c r="E73" s="2" t="s">
        <v>34</v>
      </c>
      <c r="F73" s="2">
        <v>2018</v>
      </c>
      <c r="G73" s="2" t="s">
        <v>43</v>
      </c>
      <c r="H73" s="3">
        <v>43374</v>
      </c>
      <c r="I73" s="2" t="str">
        <f t="shared" si="2"/>
        <v>Pre-Covid</v>
      </c>
      <c r="J73" s="9">
        <v>139.69999999999999</v>
      </c>
      <c r="K73" s="9">
        <v>162.6</v>
      </c>
      <c r="L73" s="9">
        <v>146.80000000000001</v>
      </c>
      <c r="M73" s="9">
        <v>146.9</v>
      </c>
      <c r="N73" s="9">
        <v>145.30000000000001</v>
      </c>
      <c r="O73" s="9">
        <v>147.80000000000001</v>
      </c>
      <c r="P73" s="9">
        <v>142.1</v>
      </c>
      <c r="Q73" s="9">
        <v>125.5</v>
      </c>
      <c r="R73" s="9">
        <v>136.9</v>
      </c>
      <c r="S73" s="9">
        <v>140.80000000000001</v>
      </c>
    </row>
    <row r="74" spans="5:19" ht="14.4" x14ac:dyDescent="0.3">
      <c r="E74" s="2" t="s">
        <v>34</v>
      </c>
      <c r="F74" s="2">
        <v>2018</v>
      </c>
      <c r="G74" s="2" t="s">
        <v>44</v>
      </c>
      <c r="H74" s="3">
        <v>43405</v>
      </c>
      <c r="I74" s="2" t="str">
        <f t="shared" si="2"/>
        <v>Pre-Covid</v>
      </c>
      <c r="J74" s="9">
        <v>139.69999999999999</v>
      </c>
      <c r="K74" s="9">
        <v>162.6</v>
      </c>
      <c r="L74" s="9">
        <v>146.69999999999999</v>
      </c>
      <c r="M74" s="9">
        <v>146.9</v>
      </c>
      <c r="N74" s="9">
        <v>145.1</v>
      </c>
      <c r="O74" s="9">
        <v>147.80000000000001</v>
      </c>
      <c r="P74" s="9">
        <v>142.1</v>
      </c>
      <c r="Q74" s="9">
        <v>125.5</v>
      </c>
      <c r="R74" s="9">
        <v>136.9</v>
      </c>
      <c r="S74" s="9">
        <v>140.80000000000001</v>
      </c>
    </row>
    <row r="75" spans="5:19" ht="14.4" x14ac:dyDescent="0.3">
      <c r="E75" s="2" t="s">
        <v>34</v>
      </c>
      <c r="F75" s="2">
        <v>2018</v>
      </c>
      <c r="G75" s="2" t="s">
        <v>45</v>
      </c>
      <c r="H75" s="3">
        <v>43435</v>
      </c>
      <c r="I75" s="2" t="str">
        <f t="shared" si="2"/>
        <v>Pre-Covid</v>
      </c>
      <c r="J75" s="9">
        <v>138.19999999999999</v>
      </c>
      <c r="K75" s="9">
        <v>163</v>
      </c>
      <c r="L75" s="9">
        <v>146.80000000000001</v>
      </c>
      <c r="M75" s="9">
        <v>146.5</v>
      </c>
      <c r="N75" s="9">
        <v>142.69999999999999</v>
      </c>
      <c r="O75" s="9">
        <v>150.1</v>
      </c>
      <c r="P75" s="9">
        <v>144.9</v>
      </c>
      <c r="Q75" s="9">
        <v>123.6</v>
      </c>
      <c r="R75" s="9">
        <v>137.4</v>
      </c>
      <c r="S75" s="9">
        <v>140.1</v>
      </c>
    </row>
    <row r="76" spans="5:19" ht="14.4" x14ac:dyDescent="0.3">
      <c r="E76" s="2" t="s">
        <v>34</v>
      </c>
      <c r="F76" s="2">
        <v>2019</v>
      </c>
      <c r="G76" s="2" t="s">
        <v>31</v>
      </c>
      <c r="H76" s="3">
        <v>43466</v>
      </c>
      <c r="I76" s="2" t="str">
        <f t="shared" si="2"/>
        <v>Pre-Covid</v>
      </c>
      <c r="J76" s="9">
        <v>137.4</v>
      </c>
      <c r="K76" s="9">
        <v>163.19999999999999</v>
      </c>
      <c r="L76" s="9">
        <v>146.4</v>
      </c>
      <c r="M76" s="9">
        <v>147.69999999999999</v>
      </c>
      <c r="N76" s="9">
        <v>139.5</v>
      </c>
      <c r="O76" s="9">
        <v>150.19999999999999</v>
      </c>
      <c r="P76" s="9">
        <v>145.1</v>
      </c>
      <c r="Q76" s="9">
        <v>123.3</v>
      </c>
      <c r="R76" s="9">
        <v>137.69999999999999</v>
      </c>
      <c r="S76" s="9">
        <v>139.6</v>
      </c>
    </row>
    <row r="77" spans="5:19" ht="14.4" x14ac:dyDescent="0.3">
      <c r="E77" s="2" t="s">
        <v>34</v>
      </c>
      <c r="F77" s="2">
        <v>2019</v>
      </c>
      <c r="G77" s="2" t="s">
        <v>35</v>
      </c>
      <c r="H77" s="3">
        <v>43497</v>
      </c>
      <c r="I77" s="2" t="str">
        <f t="shared" si="2"/>
        <v>Pre-Covid</v>
      </c>
      <c r="J77" s="9">
        <v>137.5</v>
      </c>
      <c r="K77" s="9">
        <v>163.4</v>
      </c>
      <c r="L77" s="9">
        <v>146.5</v>
      </c>
      <c r="M77" s="9">
        <v>148.5</v>
      </c>
      <c r="N77" s="9">
        <v>138.4</v>
      </c>
      <c r="O77" s="9">
        <v>150.30000000000001</v>
      </c>
      <c r="P77" s="9">
        <v>145.6</v>
      </c>
      <c r="Q77" s="9">
        <v>123.9</v>
      </c>
      <c r="R77" s="9">
        <v>138.29999999999998</v>
      </c>
      <c r="S77" s="9">
        <v>139.9</v>
      </c>
    </row>
    <row r="78" spans="5:19" ht="14.4" x14ac:dyDescent="0.3">
      <c r="E78" s="2" t="s">
        <v>34</v>
      </c>
      <c r="F78" s="2">
        <v>2019</v>
      </c>
      <c r="G78" s="2" t="s">
        <v>36</v>
      </c>
      <c r="H78" s="3">
        <v>43525</v>
      </c>
      <c r="I78" s="2" t="str">
        <f t="shared" si="2"/>
        <v>Pre-Covid</v>
      </c>
      <c r="J78" s="9">
        <v>138.1</v>
      </c>
      <c r="K78" s="9">
        <v>163.5</v>
      </c>
      <c r="L78" s="9">
        <v>146.69999999999999</v>
      </c>
      <c r="M78" s="9">
        <v>149</v>
      </c>
      <c r="N78" s="9">
        <v>139.69999999999999</v>
      </c>
      <c r="O78" s="9">
        <v>150.30000000000001</v>
      </c>
      <c r="P78" s="9">
        <v>146.19999999999999</v>
      </c>
      <c r="Q78" s="9">
        <v>124.6</v>
      </c>
      <c r="R78" s="9">
        <v>138.29999999999998</v>
      </c>
      <c r="S78" s="9">
        <v>140.4</v>
      </c>
    </row>
    <row r="79" spans="5:19" ht="14.4" x14ac:dyDescent="0.3">
      <c r="E79" s="2" t="s">
        <v>34</v>
      </c>
      <c r="F79" s="2">
        <v>2019</v>
      </c>
      <c r="G79" s="2" t="s">
        <v>38</v>
      </c>
      <c r="H79" s="3">
        <v>43586</v>
      </c>
      <c r="I79" s="2" t="str">
        <f t="shared" si="2"/>
        <v>Pre-Covid</v>
      </c>
      <c r="J79" s="9">
        <v>140.9</v>
      </c>
      <c r="K79" s="9">
        <v>164.1</v>
      </c>
      <c r="L79" s="9">
        <v>147.30000000000001</v>
      </c>
      <c r="M79" s="9">
        <v>150.1</v>
      </c>
      <c r="N79" s="9">
        <v>140.30000000000001</v>
      </c>
      <c r="O79" s="9">
        <v>151.6</v>
      </c>
      <c r="P79" s="9">
        <v>146.9</v>
      </c>
      <c r="Q79" s="9">
        <v>124.9</v>
      </c>
      <c r="R79" s="9">
        <v>138.76666666666665</v>
      </c>
      <c r="S79" s="9">
        <v>142</v>
      </c>
    </row>
    <row r="80" spans="5:19" ht="14.4" x14ac:dyDescent="0.3">
      <c r="E80" s="2" t="s">
        <v>34</v>
      </c>
      <c r="F80" s="2">
        <v>2019</v>
      </c>
      <c r="G80" s="2" t="s">
        <v>39</v>
      </c>
      <c r="H80" s="3">
        <v>43617</v>
      </c>
      <c r="I80" s="2" t="str">
        <f t="shared" si="2"/>
        <v>Pre-Covid</v>
      </c>
      <c r="J80" s="9">
        <v>142.69999999999999</v>
      </c>
      <c r="K80" s="9">
        <v>164.9</v>
      </c>
      <c r="L80" s="9">
        <v>147.4</v>
      </c>
      <c r="M80" s="9">
        <v>149.4</v>
      </c>
      <c r="N80" s="9">
        <v>141.19999999999999</v>
      </c>
      <c r="O80" s="9">
        <v>152.5</v>
      </c>
      <c r="P80" s="9">
        <v>147.4</v>
      </c>
      <c r="Q80" s="9">
        <v>124.6</v>
      </c>
      <c r="R80" s="9">
        <v>139.23333333333332</v>
      </c>
      <c r="S80" s="9">
        <v>142.9</v>
      </c>
    </row>
    <row r="81" spans="5:19" ht="14.4" x14ac:dyDescent="0.3">
      <c r="E81" s="2" t="s">
        <v>34</v>
      </c>
      <c r="F81" s="2">
        <v>2019</v>
      </c>
      <c r="G81" s="2" t="s">
        <v>40</v>
      </c>
      <c r="H81" s="3">
        <v>43647</v>
      </c>
      <c r="I81" s="2" t="str">
        <f t="shared" si="2"/>
        <v>Pre-Covid</v>
      </c>
      <c r="J81" s="9">
        <v>144.69999999999999</v>
      </c>
      <c r="K81" s="9">
        <v>165.2</v>
      </c>
      <c r="L81" s="9">
        <v>147.6</v>
      </c>
      <c r="M81" s="9">
        <v>150.6</v>
      </c>
      <c r="N81" s="9">
        <v>139.30000000000001</v>
      </c>
      <c r="O81" s="9">
        <v>154</v>
      </c>
      <c r="P81" s="9">
        <v>147.9</v>
      </c>
      <c r="Q81" s="9">
        <v>125.6</v>
      </c>
      <c r="R81" s="9">
        <v>140.13333333333333</v>
      </c>
      <c r="S81" s="9">
        <v>144.19999999999999</v>
      </c>
    </row>
    <row r="82" spans="5:19" ht="14.4" x14ac:dyDescent="0.3">
      <c r="E82" s="2" t="s">
        <v>34</v>
      </c>
      <c r="F82" s="2">
        <v>2019</v>
      </c>
      <c r="G82" s="2" t="s">
        <v>41</v>
      </c>
      <c r="H82" s="3">
        <v>43678</v>
      </c>
      <c r="I82" s="2" t="str">
        <f t="shared" si="2"/>
        <v>Pre-Covid</v>
      </c>
      <c r="J82" s="9">
        <v>145.9</v>
      </c>
      <c r="K82" s="9">
        <v>165.8</v>
      </c>
      <c r="L82" s="9">
        <v>147.9</v>
      </c>
      <c r="M82" s="9">
        <v>151.6</v>
      </c>
      <c r="N82" s="9">
        <v>138.5</v>
      </c>
      <c r="O82" s="9">
        <v>154.9</v>
      </c>
      <c r="P82" s="9">
        <v>148.5</v>
      </c>
      <c r="Q82" s="9">
        <v>125.8</v>
      </c>
      <c r="R82" s="9">
        <v>141.26666666666665</v>
      </c>
      <c r="S82" s="9">
        <v>145</v>
      </c>
    </row>
    <row r="83" spans="5:19" ht="14.4" x14ac:dyDescent="0.3">
      <c r="E83" s="2" t="s">
        <v>34</v>
      </c>
      <c r="F83" s="2">
        <v>2019</v>
      </c>
      <c r="G83" s="2" t="s">
        <v>42</v>
      </c>
      <c r="H83" s="3">
        <v>43709</v>
      </c>
      <c r="I83" s="2" t="str">
        <f t="shared" si="2"/>
        <v>Pre-Covid</v>
      </c>
      <c r="J83" s="9">
        <v>147</v>
      </c>
      <c r="K83" s="9">
        <v>166.5</v>
      </c>
      <c r="L83" s="9">
        <v>147.9</v>
      </c>
      <c r="M83" s="9">
        <v>152.19999999999999</v>
      </c>
      <c r="N83" s="9">
        <v>139.19999999999999</v>
      </c>
      <c r="O83" s="9">
        <v>155.19999999999999</v>
      </c>
      <c r="P83" s="9">
        <v>149</v>
      </c>
      <c r="Q83" s="9">
        <v>126.1</v>
      </c>
      <c r="R83" s="9">
        <v>141.86666666666665</v>
      </c>
      <c r="S83" s="9">
        <v>145.80000000000001</v>
      </c>
    </row>
    <row r="84" spans="5:19" ht="14.4" x14ac:dyDescent="0.3">
      <c r="E84" s="2" t="s">
        <v>34</v>
      </c>
      <c r="F84" s="2">
        <v>2019</v>
      </c>
      <c r="G84" s="2" t="s">
        <v>43</v>
      </c>
      <c r="H84" s="3">
        <v>43739</v>
      </c>
      <c r="I84" s="2" t="str">
        <f t="shared" si="2"/>
        <v>Pre-Covid</v>
      </c>
      <c r="J84" s="9">
        <v>149.6</v>
      </c>
      <c r="K84" s="9">
        <v>167.1</v>
      </c>
      <c r="L84" s="9">
        <v>148.19999999999999</v>
      </c>
      <c r="M84" s="9">
        <v>153</v>
      </c>
      <c r="N84" s="9">
        <v>140.6</v>
      </c>
      <c r="O84" s="9">
        <v>155.4</v>
      </c>
      <c r="P84" s="9">
        <v>149.4</v>
      </c>
      <c r="Q84" s="9">
        <v>126.3</v>
      </c>
      <c r="R84" s="9">
        <v>142.23333333333332</v>
      </c>
      <c r="S84" s="9">
        <v>147.19999999999999</v>
      </c>
    </row>
    <row r="85" spans="5:19" ht="14.4" x14ac:dyDescent="0.3">
      <c r="E85" s="2" t="s">
        <v>34</v>
      </c>
      <c r="F85" s="2">
        <v>2019</v>
      </c>
      <c r="G85" s="2" t="s">
        <v>44</v>
      </c>
      <c r="H85" s="3">
        <v>43770</v>
      </c>
      <c r="I85" s="2" t="str">
        <f t="shared" si="2"/>
        <v>Pre-Covid</v>
      </c>
      <c r="J85" s="9">
        <v>151.9</v>
      </c>
      <c r="K85" s="9">
        <v>167.9</v>
      </c>
      <c r="L85" s="9">
        <v>148.6</v>
      </c>
      <c r="M85" s="9">
        <v>153.5</v>
      </c>
      <c r="N85" s="9">
        <v>142.30000000000001</v>
      </c>
      <c r="O85" s="9">
        <v>155.5</v>
      </c>
      <c r="P85" s="9">
        <v>149.9</v>
      </c>
      <c r="Q85" s="9">
        <v>126.6</v>
      </c>
      <c r="R85" s="9">
        <v>142.56666666666666</v>
      </c>
      <c r="S85" s="9">
        <v>148.6</v>
      </c>
    </row>
    <row r="86" spans="5:19" ht="14.4" x14ac:dyDescent="0.3">
      <c r="E86" s="2" t="s">
        <v>34</v>
      </c>
      <c r="F86" s="2">
        <v>2019</v>
      </c>
      <c r="G86" s="2" t="s">
        <v>45</v>
      </c>
      <c r="H86" s="3">
        <v>43800</v>
      </c>
      <c r="I86" s="2" t="str">
        <f t="shared" si="2"/>
        <v>Pre-Covid</v>
      </c>
      <c r="J86" s="9">
        <v>155</v>
      </c>
      <c r="K86" s="9">
        <v>168.5</v>
      </c>
      <c r="L86" s="9">
        <v>149</v>
      </c>
      <c r="M86" s="9">
        <v>152.80000000000001</v>
      </c>
      <c r="N86" s="9">
        <v>143.69999999999999</v>
      </c>
      <c r="O86" s="9">
        <v>155.69999999999999</v>
      </c>
      <c r="P86" s="9">
        <v>150.4</v>
      </c>
      <c r="Q86" s="9">
        <v>129.80000000000001</v>
      </c>
      <c r="R86" s="9">
        <v>142.83333333333334</v>
      </c>
      <c r="S86" s="9">
        <v>150.4</v>
      </c>
    </row>
    <row r="87" spans="5:19" ht="14.4" x14ac:dyDescent="0.3">
      <c r="E87" s="2" t="s">
        <v>34</v>
      </c>
      <c r="F87" s="2">
        <v>2020</v>
      </c>
      <c r="G87" s="2" t="s">
        <v>31</v>
      </c>
      <c r="H87" s="3">
        <v>43831</v>
      </c>
      <c r="I87" s="2" t="str">
        <f t="shared" si="2"/>
        <v>Pre-Covid</v>
      </c>
      <c r="J87" s="9">
        <v>153.5</v>
      </c>
      <c r="K87" s="9">
        <v>169.2</v>
      </c>
      <c r="L87" s="9">
        <v>149.19999999999999</v>
      </c>
      <c r="M87" s="9">
        <v>153.9</v>
      </c>
      <c r="N87" s="9">
        <v>144.6</v>
      </c>
      <c r="O87" s="9">
        <v>156.1</v>
      </c>
      <c r="P87" s="9">
        <v>151.19999999999999</v>
      </c>
      <c r="Q87" s="9">
        <v>130.9</v>
      </c>
      <c r="R87" s="9">
        <v>143.76666666666668</v>
      </c>
      <c r="S87" s="9">
        <v>150.19999999999999</v>
      </c>
    </row>
    <row r="88" spans="5:19" ht="14.4" x14ac:dyDescent="0.3">
      <c r="E88" s="2" t="s">
        <v>34</v>
      </c>
      <c r="F88" s="2">
        <v>2020</v>
      </c>
      <c r="G88" s="2" t="s">
        <v>35</v>
      </c>
      <c r="H88" s="3">
        <v>43862</v>
      </c>
      <c r="I88" s="2" t="str">
        <f t="shared" si="2"/>
        <v>Pre-Covid</v>
      </c>
      <c r="J88" s="9">
        <v>150.5</v>
      </c>
      <c r="K88" s="9">
        <v>170.1</v>
      </c>
      <c r="L88" s="9">
        <v>149.5</v>
      </c>
      <c r="M88" s="9">
        <v>154.80000000000001</v>
      </c>
      <c r="N88" s="9">
        <v>147.19999999999999</v>
      </c>
      <c r="O88" s="9">
        <v>156.19999999999999</v>
      </c>
      <c r="P88" s="9">
        <v>151.69999999999999</v>
      </c>
      <c r="Q88" s="9">
        <v>130.30000000000001</v>
      </c>
      <c r="R88" s="9">
        <v>144.33333333333334</v>
      </c>
      <c r="S88" s="9">
        <v>149.1</v>
      </c>
    </row>
    <row r="89" spans="5:19" ht="14.4" x14ac:dyDescent="0.3">
      <c r="E89" s="2" t="s">
        <v>34</v>
      </c>
      <c r="F89" s="2">
        <v>2020</v>
      </c>
      <c r="G89" s="2" t="s">
        <v>36</v>
      </c>
      <c r="H89" s="3">
        <v>43891</v>
      </c>
      <c r="I89" s="2" t="str">
        <f t="shared" si="2"/>
        <v>Post-Covid</v>
      </c>
      <c r="J89" s="9">
        <v>148.9</v>
      </c>
      <c r="K89" s="9">
        <v>171.2</v>
      </c>
      <c r="L89" s="9">
        <v>149.80000000000001</v>
      </c>
      <c r="M89" s="9">
        <v>154.5</v>
      </c>
      <c r="N89" s="9">
        <v>148.9</v>
      </c>
      <c r="O89" s="9">
        <v>156.1</v>
      </c>
      <c r="P89" s="9">
        <v>152.30000000000001</v>
      </c>
      <c r="Q89" s="9">
        <v>129.9</v>
      </c>
      <c r="R89" s="9">
        <v>145.1</v>
      </c>
      <c r="S89" s="9">
        <v>148.6</v>
      </c>
    </row>
    <row r="90" spans="5:19" ht="14.4" x14ac:dyDescent="0.3">
      <c r="E90" s="2" t="s">
        <v>34</v>
      </c>
      <c r="F90" s="2">
        <v>2020</v>
      </c>
      <c r="G90" s="2" t="s">
        <v>37</v>
      </c>
      <c r="H90" s="3">
        <v>43922</v>
      </c>
      <c r="I90" s="2" t="str">
        <f t="shared" si="2"/>
        <v>Post-Covid</v>
      </c>
      <c r="J90" s="9">
        <v>151.4</v>
      </c>
      <c r="K90" s="9">
        <v>154.77213114754096</v>
      </c>
      <c r="L90" s="9">
        <v>142.22950819672127</v>
      </c>
      <c r="M90" s="9">
        <v>155.6</v>
      </c>
      <c r="N90" s="9">
        <v>144.1</v>
      </c>
      <c r="O90" s="9">
        <v>140.94426229508201</v>
      </c>
      <c r="P90" s="9">
        <v>150.69999999999999</v>
      </c>
      <c r="Q90" s="9">
        <v>127.05737704918033</v>
      </c>
      <c r="R90" s="9">
        <v>134.6193989071038</v>
      </c>
      <c r="S90" s="9">
        <v>139.6295081967213</v>
      </c>
    </row>
    <row r="91" spans="5:19" ht="14.4" x14ac:dyDescent="0.3">
      <c r="E91" s="2" t="s">
        <v>34</v>
      </c>
      <c r="F91" s="2">
        <v>2020</v>
      </c>
      <c r="G91" s="2" t="s">
        <v>38</v>
      </c>
      <c r="H91" s="3">
        <v>43952</v>
      </c>
      <c r="I91" s="2" t="str">
        <f t="shared" si="2"/>
        <v>Post-Covid</v>
      </c>
      <c r="J91" s="9">
        <v>142.32764227642281</v>
      </c>
      <c r="K91" s="9">
        <v>154.77213114754096</v>
      </c>
      <c r="L91" s="9">
        <v>142.22950819672127</v>
      </c>
      <c r="M91" s="9">
        <v>154.69999999999999</v>
      </c>
      <c r="N91" s="9">
        <v>137.22682926829273</v>
      </c>
      <c r="O91" s="9">
        <v>140.94426229508201</v>
      </c>
      <c r="P91" s="9">
        <v>139.02439024390242</v>
      </c>
      <c r="Q91" s="9">
        <v>127.05737704918033</v>
      </c>
      <c r="R91" s="9">
        <v>134.6193989071038</v>
      </c>
      <c r="S91" s="9">
        <v>139.6295081967213</v>
      </c>
    </row>
    <row r="92" spans="5:19" ht="14.4" x14ac:dyDescent="0.3">
      <c r="E92" s="2" t="s">
        <v>34</v>
      </c>
      <c r="F92" s="2">
        <v>2020</v>
      </c>
      <c r="G92" s="2" t="s">
        <v>39</v>
      </c>
      <c r="H92" s="3">
        <v>43983</v>
      </c>
      <c r="I92" s="2" t="str">
        <f t="shared" si="2"/>
        <v>Post-Covid</v>
      </c>
      <c r="J92" s="9">
        <v>154</v>
      </c>
      <c r="K92" s="9">
        <v>183.5</v>
      </c>
      <c r="L92" s="9">
        <v>151.4</v>
      </c>
      <c r="M92" s="9">
        <v>154.69999999999999</v>
      </c>
      <c r="N92" s="9">
        <v>141.9</v>
      </c>
      <c r="O92" s="9">
        <v>156.4</v>
      </c>
      <c r="P92" s="9">
        <v>154.4</v>
      </c>
      <c r="Q92" s="9">
        <v>135</v>
      </c>
      <c r="R92" s="9">
        <v>148.76666666666668</v>
      </c>
      <c r="S92" s="9">
        <v>151.80000000000001</v>
      </c>
    </row>
    <row r="93" spans="5:19" ht="14.4" x14ac:dyDescent="0.3">
      <c r="E93" s="2" t="s">
        <v>34</v>
      </c>
      <c r="F93" s="2">
        <v>2020</v>
      </c>
      <c r="G93" s="2" t="s">
        <v>40</v>
      </c>
      <c r="H93" s="3">
        <v>44013</v>
      </c>
      <c r="I93" s="2" t="str">
        <f t="shared" si="2"/>
        <v>Post-Covid</v>
      </c>
      <c r="J93" s="9">
        <v>154</v>
      </c>
      <c r="K93" s="9">
        <v>183.5</v>
      </c>
      <c r="L93" s="9">
        <v>151.4</v>
      </c>
      <c r="M93" s="9">
        <v>154.69999999999999</v>
      </c>
      <c r="N93" s="9">
        <v>141.9</v>
      </c>
      <c r="O93" s="9">
        <v>156.4</v>
      </c>
      <c r="P93" s="9">
        <v>154.4</v>
      </c>
      <c r="Q93" s="9">
        <v>135</v>
      </c>
      <c r="R93" s="9">
        <v>148.76666666666668</v>
      </c>
      <c r="S93" s="9">
        <v>151.80000000000001</v>
      </c>
    </row>
    <row r="94" spans="5:19" ht="14.4" x14ac:dyDescent="0.3">
      <c r="E94" s="2" t="s">
        <v>34</v>
      </c>
      <c r="F94" s="2">
        <v>2020</v>
      </c>
      <c r="G94" s="2" t="s">
        <v>41</v>
      </c>
      <c r="H94" s="3">
        <v>44044</v>
      </c>
      <c r="I94" s="2" t="str">
        <f t="shared" si="2"/>
        <v>Post-Covid</v>
      </c>
      <c r="J94" s="9">
        <v>157</v>
      </c>
      <c r="K94" s="9">
        <v>182.6</v>
      </c>
      <c r="L94" s="9">
        <v>151.69999999999999</v>
      </c>
      <c r="M94" s="9">
        <v>155.5</v>
      </c>
      <c r="N94" s="9">
        <v>143</v>
      </c>
      <c r="O94" s="9">
        <v>158.5</v>
      </c>
      <c r="P94" s="9">
        <v>155</v>
      </c>
      <c r="Q94" s="9">
        <v>138.5</v>
      </c>
      <c r="R94" s="9">
        <v>149.56666666666666</v>
      </c>
      <c r="S94" s="9">
        <v>153.9</v>
      </c>
    </row>
    <row r="95" spans="5:19" ht="14.4" x14ac:dyDescent="0.3">
      <c r="E95" s="2" t="s">
        <v>34</v>
      </c>
      <c r="F95" s="2">
        <v>2020</v>
      </c>
      <c r="G95" s="2" t="s">
        <v>42</v>
      </c>
      <c r="H95" s="3">
        <v>44075</v>
      </c>
      <c r="I95" s="2" t="str">
        <f t="shared" si="2"/>
        <v>Post-Covid</v>
      </c>
      <c r="J95" s="9">
        <v>158</v>
      </c>
      <c r="K95" s="9">
        <v>184.4</v>
      </c>
      <c r="L95" s="9">
        <v>152</v>
      </c>
      <c r="M95" s="9">
        <v>156.30000000000001</v>
      </c>
      <c r="N95" s="9">
        <v>142.9</v>
      </c>
      <c r="O95" s="9">
        <v>157.5</v>
      </c>
      <c r="P95" s="9">
        <v>155.6</v>
      </c>
      <c r="Q95" s="9">
        <v>139.6</v>
      </c>
      <c r="R95" s="9">
        <v>151.23333333333332</v>
      </c>
      <c r="S95" s="9">
        <v>154.69999999999999</v>
      </c>
    </row>
    <row r="96" spans="5:19" ht="14.4" x14ac:dyDescent="0.3">
      <c r="E96" s="2" t="s">
        <v>34</v>
      </c>
      <c r="F96" s="2">
        <v>2020</v>
      </c>
      <c r="G96" s="2" t="s">
        <v>43</v>
      </c>
      <c r="H96" s="3">
        <v>44105</v>
      </c>
      <c r="I96" s="2" t="str">
        <f t="shared" si="2"/>
        <v>Post-Covid</v>
      </c>
      <c r="J96" s="9">
        <v>161.4</v>
      </c>
      <c r="K96" s="9">
        <v>184.3</v>
      </c>
      <c r="L96" s="9">
        <v>152.30000000000001</v>
      </c>
      <c r="M96" s="9">
        <v>156.5</v>
      </c>
      <c r="N96" s="9">
        <v>143.1</v>
      </c>
      <c r="O96" s="9">
        <v>158.5</v>
      </c>
      <c r="P96" s="9">
        <v>156.30000000000001</v>
      </c>
      <c r="Q96" s="9">
        <v>140.6</v>
      </c>
      <c r="R96" s="9">
        <v>150.73333333333332</v>
      </c>
      <c r="S96" s="9">
        <v>156.4</v>
      </c>
    </row>
    <row r="97" spans="5:19" ht="14.4" x14ac:dyDescent="0.3">
      <c r="E97" s="2" t="s">
        <v>34</v>
      </c>
      <c r="F97" s="2">
        <v>2020</v>
      </c>
      <c r="G97" s="2" t="s">
        <v>44</v>
      </c>
      <c r="H97" s="3">
        <v>44136</v>
      </c>
      <c r="I97" s="2" t="str">
        <f t="shared" si="2"/>
        <v>Post-Covid</v>
      </c>
      <c r="J97" s="9">
        <v>164.7</v>
      </c>
      <c r="K97" s="9">
        <v>184.8</v>
      </c>
      <c r="L97" s="9">
        <v>152.80000000000001</v>
      </c>
      <c r="M97" s="9">
        <v>158</v>
      </c>
      <c r="N97" s="9">
        <v>143.6</v>
      </c>
      <c r="O97" s="9">
        <v>158.6</v>
      </c>
      <c r="P97" s="9">
        <v>157.19999999999999</v>
      </c>
      <c r="Q97" s="9">
        <v>140.4</v>
      </c>
      <c r="R97" s="9">
        <v>151.5</v>
      </c>
      <c r="S97" s="9">
        <v>158.4</v>
      </c>
    </row>
    <row r="98" spans="5:19" ht="14.4" x14ac:dyDescent="0.3">
      <c r="E98" s="2" t="s">
        <v>34</v>
      </c>
      <c r="F98" s="2">
        <v>2020</v>
      </c>
      <c r="G98" s="2" t="s">
        <v>45</v>
      </c>
      <c r="H98" s="3">
        <v>44166</v>
      </c>
      <c r="I98" s="2" t="str">
        <f t="shared" si="2"/>
        <v>Post-Covid</v>
      </c>
      <c r="J98" s="9">
        <v>165.4</v>
      </c>
      <c r="K98" s="9">
        <v>185.4</v>
      </c>
      <c r="L98" s="9">
        <v>153.6</v>
      </c>
      <c r="M98" s="9">
        <v>158.4</v>
      </c>
      <c r="N98" s="9">
        <v>144.6</v>
      </c>
      <c r="O98" s="9">
        <v>159.4</v>
      </c>
      <c r="P98" s="9">
        <v>158.30000000000001</v>
      </c>
      <c r="Q98" s="9">
        <v>140.69999999999999</v>
      </c>
      <c r="R98" s="9">
        <v>151.76666666666665</v>
      </c>
      <c r="S98" s="9">
        <v>158.9</v>
      </c>
    </row>
    <row r="99" spans="5:19" ht="14.4" x14ac:dyDescent="0.3">
      <c r="E99" s="2" t="s">
        <v>34</v>
      </c>
      <c r="F99" s="2">
        <v>2021</v>
      </c>
      <c r="G99" s="2" t="s">
        <v>31</v>
      </c>
      <c r="H99" s="3">
        <v>44197</v>
      </c>
      <c r="I99" s="2" t="str">
        <f t="shared" si="2"/>
        <v>Post-Covid</v>
      </c>
      <c r="J99" s="9">
        <v>161</v>
      </c>
      <c r="K99" s="9">
        <v>186.5</v>
      </c>
      <c r="L99" s="9">
        <v>154.19999999999999</v>
      </c>
      <c r="M99" s="9">
        <v>157.69999999999999</v>
      </c>
      <c r="N99" s="9">
        <v>147.9</v>
      </c>
      <c r="O99" s="9">
        <v>159.19999999999999</v>
      </c>
      <c r="P99" s="9">
        <v>159.30000000000001</v>
      </c>
      <c r="Q99" s="9">
        <v>141.9</v>
      </c>
      <c r="R99" s="9">
        <v>152.13333333333335</v>
      </c>
      <c r="S99" s="9">
        <v>157.30000000000001</v>
      </c>
    </row>
    <row r="100" spans="5:19" ht="14.4" x14ac:dyDescent="0.3">
      <c r="E100" s="2" t="s">
        <v>34</v>
      </c>
      <c r="F100" s="2">
        <v>2021</v>
      </c>
      <c r="G100" s="2" t="s">
        <v>35</v>
      </c>
      <c r="H100" s="3">
        <v>44228</v>
      </c>
      <c r="I100" s="2" t="str">
        <f t="shared" ref="I100:I127" si="3">IF(H100&lt;DATE(2020,3,1),"Pre-Covid","Post-Covid")</f>
        <v>Post-Covid</v>
      </c>
      <c r="J100" s="9">
        <v>156.9</v>
      </c>
      <c r="K100" s="9">
        <v>188.3</v>
      </c>
      <c r="L100" s="9">
        <v>155.80000000000001</v>
      </c>
      <c r="M100" s="9">
        <v>159.80000000000001</v>
      </c>
      <c r="N100" s="9">
        <v>152.4</v>
      </c>
      <c r="O100" s="9">
        <v>159.5</v>
      </c>
      <c r="P100" s="9">
        <v>161.30000000000001</v>
      </c>
      <c r="Q100" s="9">
        <v>145.1</v>
      </c>
      <c r="R100" s="9">
        <v>152.73333333333332</v>
      </c>
      <c r="S100" s="9">
        <v>156.6</v>
      </c>
    </row>
    <row r="101" spans="5:19" ht="14.4" x14ac:dyDescent="0.3">
      <c r="E101" s="2" t="s">
        <v>34</v>
      </c>
      <c r="F101" s="2">
        <v>2021</v>
      </c>
      <c r="G101" s="2" t="s">
        <v>36</v>
      </c>
      <c r="H101" s="3">
        <v>44256</v>
      </c>
      <c r="I101" s="2" t="str">
        <f t="shared" si="3"/>
        <v>Post-Covid</v>
      </c>
      <c r="J101" s="9">
        <v>156.69999999999999</v>
      </c>
      <c r="K101" s="9">
        <v>188.1</v>
      </c>
      <c r="L101" s="9">
        <v>156.4</v>
      </c>
      <c r="M101" s="9">
        <v>159.9</v>
      </c>
      <c r="N101" s="9">
        <v>155.5</v>
      </c>
      <c r="O101" s="9">
        <v>160.19999999999999</v>
      </c>
      <c r="P101" s="9">
        <v>161.69999999999999</v>
      </c>
      <c r="Q101" s="9">
        <v>146.19999999999999</v>
      </c>
      <c r="R101" s="9">
        <v>152.53333333333333</v>
      </c>
      <c r="S101" s="9">
        <v>156.80000000000001</v>
      </c>
    </row>
    <row r="102" spans="5:19" ht="14.4" x14ac:dyDescent="0.3">
      <c r="E102" s="2" t="s">
        <v>34</v>
      </c>
      <c r="F102" s="2">
        <v>2021</v>
      </c>
      <c r="G102" s="2" t="s">
        <v>37</v>
      </c>
      <c r="H102" s="3">
        <v>44287</v>
      </c>
      <c r="I102" s="2" t="str">
        <f t="shared" si="3"/>
        <v>Post-Covid</v>
      </c>
      <c r="J102" s="9">
        <v>158</v>
      </c>
      <c r="K102" s="9">
        <v>188.8</v>
      </c>
      <c r="L102" s="9">
        <v>157.30000000000001</v>
      </c>
      <c r="M102" s="9">
        <v>161.4</v>
      </c>
      <c r="N102" s="9">
        <v>155.6</v>
      </c>
      <c r="O102" s="9">
        <v>160.30000000000001</v>
      </c>
      <c r="P102" s="9">
        <v>162.30000000000001</v>
      </c>
      <c r="Q102" s="9">
        <v>146.6</v>
      </c>
      <c r="R102" s="9">
        <v>153.46666666666667</v>
      </c>
      <c r="S102" s="9">
        <v>157.80000000000001</v>
      </c>
    </row>
    <row r="103" spans="5:19" ht="14.4" x14ac:dyDescent="0.3">
      <c r="E103" s="2" t="s">
        <v>34</v>
      </c>
      <c r="F103" s="2">
        <v>2021</v>
      </c>
      <c r="G103" s="2" t="s">
        <v>38</v>
      </c>
      <c r="H103" s="3">
        <v>44317</v>
      </c>
      <c r="I103" s="2" t="str">
        <f t="shared" si="3"/>
        <v>Post-Covid</v>
      </c>
      <c r="J103" s="9">
        <v>160.69999999999999</v>
      </c>
      <c r="K103" s="9">
        <v>191.9</v>
      </c>
      <c r="L103" s="9">
        <v>160.4</v>
      </c>
      <c r="M103" s="9">
        <v>161.6</v>
      </c>
      <c r="N103" s="9">
        <v>159.4</v>
      </c>
      <c r="O103" s="9">
        <v>161.19999999999999</v>
      </c>
      <c r="P103" s="9">
        <v>165.8</v>
      </c>
      <c r="Q103" s="9">
        <v>148.9</v>
      </c>
      <c r="R103" s="9">
        <v>156.36666666666667</v>
      </c>
      <c r="S103" s="9">
        <v>160.4</v>
      </c>
    </row>
    <row r="104" spans="5:19" ht="14.4" x14ac:dyDescent="0.3">
      <c r="E104" s="2" t="s">
        <v>34</v>
      </c>
      <c r="F104" s="2">
        <v>2021</v>
      </c>
      <c r="G104" s="2" t="s">
        <v>39</v>
      </c>
      <c r="H104" s="3">
        <v>44348</v>
      </c>
      <c r="I104" s="2" t="str">
        <f t="shared" si="3"/>
        <v>Post-Covid</v>
      </c>
      <c r="J104" s="9">
        <v>162.6</v>
      </c>
      <c r="K104" s="9">
        <v>190.8</v>
      </c>
      <c r="L104" s="9">
        <v>160.69999999999999</v>
      </c>
      <c r="M104" s="9">
        <v>160.5</v>
      </c>
      <c r="N104" s="9">
        <v>159.80000000000001</v>
      </c>
      <c r="O104" s="9">
        <v>161.69999999999999</v>
      </c>
      <c r="P104" s="9">
        <v>166.3</v>
      </c>
      <c r="Q104" s="9">
        <v>150.69999999999999</v>
      </c>
      <c r="R104" s="9">
        <v>156.16666666666669</v>
      </c>
      <c r="S104" s="9">
        <v>161.30000000000001</v>
      </c>
    </row>
    <row r="105" spans="5:19" ht="14.4" x14ac:dyDescent="0.3">
      <c r="E105" s="2" t="s">
        <v>34</v>
      </c>
      <c r="F105" s="2">
        <v>2021</v>
      </c>
      <c r="G105" s="2" t="s">
        <v>40</v>
      </c>
      <c r="H105" s="3">
        <v>44378</v>
      </c>
      <c r="I105" s="2" t="str">
        <f t="shared" si="3"/>
        <v>Post-Covid</v>
      </c>
      <c r="J105" s="9">
        <v>164</v>
      </c>
      <c r="K105" s="9">
        <v>191.2</v>
      </c>
      <c r="L105" s="9">
        <v>161.4</v>
      </c>
      <c r="M105" s="9">
        <v>161.5</v>
      </c>
      <c r="N105" s="9">
        <v>160.69999999999999</v>
      </c>
      <c r="O105" s="9">
        <v>163.19999999999999</v>
      </c>
      <c r="P105" s="9">
        <v>167</v>
      </c>
      <c r="Q105" s="9">
        <v>153.1</v>
      </c>
      <c r="R105" s="9">
        <v>157.06666666666669</v>
      </c>
      <c r="S105" s="9">
        <v>162.5</v>
      </c>
    </row>
    <row r="106" spans="5:19" ht="14.4" x14ac:dyDescent="0.3">
      <c r="E106" s="2" t="s">
        <v>34</v>
      </c>
      <c r="F106" s="2">
        <v>2021</v>
      </c>
      <c r="G106" s="2" t="s">
        <v>41</v>
      </c>
      <c r="H106" s="3">
        <v>44409</v>
      </c>
      <c r="I106" s="2" t="str">
        <f t="shared" si="3"/>
        <v>Post-Covid</v>
      </c>
      <c r="J106" s="9">
        <v>164</v>
      </c>
      <c r="K106" s="9">
        <v>192.1</v>
      </c>
      <c r="L106" s="9">
        <v>163.19999999999999</v>
      </c>
      <c r="M106" s="9">
        <v>162.1</v>
      </c>
      <c r="N106" s="9">
        <v>162.6</v>
      </c>
      <c r="O106" s="9">
        <v>163.80000000000001</v>
      </c>
      <c r="P106" s="9">
        <v>168.4</v>
      </c>
      <c r="Q106" s="9">
        <v>154</v>
      </c>
      <c r="R106" s="9">
        <v>158.36666666666667</v>
      </c>
      <c r="S106" s="9">
        <v>163.19999999999999</v>
      </c>
    </row>
    <row r="107" spans="5:19" ht="14.4" x14ac:dyDescent="0.3">
      <c r="E107" s="2" t="s">
        <v>34</v>
      </c>
      <c r="F107" s="2">
        <v>2021</v>
      </c>
      <c r="G107" s="2" t="s">
        <v>42</v>
      </c>
      <c r="H107" s="3">
        <v>44440</v>
      </c>
      <c r="I107" s="2" t="str">
        <f t="shared" si="3"/>
        <v>Post-Covid</v>
      </c>
      <c r="J107" s="9">
        <v>164</v>
      </c>
      <c r="K107" s="9">
        <v>192.1</v>
      </c>
      <c r="L107" s="9">
        <v>163.30000000000001</v>
      </c>
      <c r="M107" s="9">
        <v>162.1</v>
      </c>
      <c r="N107" s="9">
        <v>162.6</v>
      </c>
      <c r="O107" s="9">
        <v>163.69999999999999</v>
      </c>
      <c r="P107" s="9">
        <v>168.4</v>
      </c>
      <c r="Q107" s="9">
        <v>154</v>
      </c>
      <c r="R107" s="9">
        <v>158.4</v>
      </c>
      <c r="S107" s="9">
        <v>163.19999999999999</v>
      </c>
    </row>
    <row r="108" spans="5:19" ht="14.4" x14ac:dyDescent="0.3">
      <c r="E108" s="2" t="s">
        <v>34</v>
      </c>
      <c r="F108" s="2">
        <v>2021</v>
      </c>
      <c r="G108" s="2" t="s">
        <v>43</v>
      </c>
      <c r="H108" s="3">
        <v>44470</v>
      </c>
      <c r="I108" s="2" t="str">
        <f t="shared" si="3"/>
        <v>Post-Covid</v>
      </c>
      <c r="J108" s="9">
        <v>167.7</v>
      </c>
      <c r="K108" s="9">
        <v>192.7</v>
      </c>
      <c r="L108" s="9">
        <v>164.3</v>
      </c>
      <c r="M108" s="9">
        <v>163.6</v>
      </c>
      <c r="N108" s="9">
        <v>164.2</v>
      </c>
      <c r="O108" s="9">
        <v>163.9</v>
      </c>
      <c r="P108" s="9">
        <v>169.1</v>
      </c>
      <c r="Q108" s="9">
        <v>155.69999999999999</v>
      </c>
      <c r="R108" s="9">
        <v>159.26666666666668</v>
      </c>
      <c r="S108" s="9">
        <v>165.5</v>
      </c>
    </row>
    <row r="109" spans="5:19" ht="14.4" x14ac:dyDescent="0.3">
      <c r="E109" s="2" t="s">
        <v>34</v>
      </c>
      <c r="F109" s="2">
        <v>2021</v>
      </c>
      <c r="G109" s="2" t="s">
        <v>44</v>
      </c>
      <c r="H109" s="3">
        <v>44501</v>
      </c>
      <c r="I109" s="2" t="str">
        <f t="shared" si="3"/>
        <v>Post-Covid</v>
      </c>
      <c r="J109" s="9">
        <v>169.7</v>
      </c>
      <c r="K109" s="9">
        <v>192.9</v>
      </c>
      <c r="L109" s="9">
        <v>165.8</v>
      </c>
      <c r="M109" s="9">
        <v>164.2</v>
      </c>
      <c r="N109" s="9">
        <v>163.9</v>
      </c>
      <c r="O109" s="9">
        <v>164.3</v>
      </c>
      <c r="P109" s="9">
        <v>169.9</v>
      </c>
      <c r="Q109" s="9">
        <v>154.80000000000001</v>
      </c>
      <c r="R109" s="9">
        <v>160.43333333333334</v>
      </c>
      <c r="S109" s="9">
        <v>166.7</v>
      </c>
    </row>
    <row r="110" spans="5:19" ht="14.4" x14ac:dyDescent="0.3">
      <c r="E110" s="2" t="s">
        <v>34</v>
      </c>
      <c r="F110" s="2">
        <v>2021</v>
      </c>
      <c r="G110" s="2" t="s">
        <v>45</v>
      </c>
      <c r="H110" s="3">
        <v>44531</v>
      </c>
      <c r="I110" s="2" t="str">
        <f t="shared" si="3"/>
        <v>Post-Covid</v>
      </c>
      <c r="J110" s="9">
        <v>168.2</v>
      </c>
      <c r="K110" s="9">
        <v>192.4</v>
      </c>
      <c r="L110" s="9">
        <v>167</v>
      </c>
      <c r="M110" s="9">
        <v>163.4</v>
      </c>
      <c r="N110" s="9">
        <v>164.1</v>
      </c>
      <c r="O110" s="9">
        <v>164.4</v>
      </c>
      <c r="P110" s="9">
        <v>170.6</v>
      </c>
      <c r="Q110" s="9">
        <v>155.69999999999999</v>
      </c>
      <c r="R110" s="9">
        <v>161.13333333333333</v>
      </c>
      <c r="S110" s="9">
        <v>166.2</v>
      </c>
    </row>
    <row r="111" spans="5:19" ht="14.4" x14ac:dyDescent="0.3">
      <c r="E111" s="2" t="s">
        <v>34</v>
      </c>
      <c r="F111" s="2">
        <v>2022</v>
      </c>
      <c r="G111" s="2" t="s">
        <v>31</v>
      </c>
      <c r="H111" s="3">
        <v>44562</v>
      </c>
      <c r="I111" s="2" t="str">
        <f t="shared" si="3"/>
        <v>Post-Covid</v>
      </c>
      <c r="J111" s="9">
        <v>166.4</v>
      </c>
      <c r="K111" s="9">
        <v>192.2</v>
      </c>
      <c r="L111" s="9">
        <v>168.5</v>
      </c>
      <c r="M111" s="9">
        <v>164.5</v>
      </c>
      <c r="N111" s="9">
        <v>164.2</v>
      </c>
      <c r="O111" s="9">
        <v>164.7</v>
      </c>
      <c r="P111" s="9">
        <v>171.4</v>
      </c>
      <c r="Q111" s="9">
        <v>156.5</v>
      </c>
      <c r="R111" s="9">
        <v>161.76666666666665</v>
      </c>
      <c r="S111" s="9">
        <v>165.7</v>
      </c>
    </row>
    <row r="112" spans="5:19" ht="14.4" x14ac:dyDescent="0.3">
      <c r="E112" s="2" t="s">
        <v>34</v>
      </c>
      <c r="F112" s="2">
        <v>2022</v>
      </c>
      <c r="G112" s="2" t="s">
        <v>35</v>
      </c>
      <c r="H112" s="3">
        <v>44593</v>
      </c>
      <c r="I112" s="2" t="str">
        <f t="shared" si="3"/>
        <v>Post-Covid</v>
      </c>
      <c r="J112" s="9">
        <v>166.2</v>
      </c>
      <c r="K112" s="9">
        <v>192.8</v>
      </c>
      <c r="L112" s="9">
        <v>169.6</v>
      </c>
      <c r="M112" s="9">
        <v>165.5</v>
      </c>
      <c r="N112" s="9">
        <v>165.7</v>
      </c>
      <c r="O112" s="9">
        <v>165.4</v>
      </c>
      <c r="P112" s="9">
        <v>172.2</v>
      </c>
      <c r="Q112" s="9">
        <v>156.9</v>
      </c>
      <c r="R112" s="9">
        <v>162.76666666666665</v>
      </c>
      <c r="S112" s="9">
        <v>166.1</v>
      </c>
    </row>
    <row r="113" spans="5:19" ht="14.4" x14ac:dyDescent="0.3">
      <c r="E113" s="2" t="s">
        <v>34</v>
      </c>
      <c r="F113" s="2">
        <v>2022</v>
      </c>
      <c r="G113" s="2" t="s">
        <v>36</v>
      </c>
      <c r="H113" s="3">
        <v>44621</v>
      </c>
      <c r="I113" s="2" t="str">
        <f t="shared" si="3"/>
        <v>Post-Covid</v>
      </c>
      <c r="J113" s="9">
        <v>168.4</v>
      </c>
      <c r="K113" s="9">
        <v>193.7</v>
      </c>
      <c r="L113" s="9">
        <v>171.1</v>
      </c>
      <c r="M113" s="9">
        <v>165.3</v>
      </c>
      <c r="N113" s="9">
        <v>167.2</v>
      </c>
      <c r="O113" s="9">
        <v>166</v>
      </c>
      <c r="P113" s="9">
        <v>173</v>
      </c>
      <c r="Q113" s="9">
        <v>157.9</v>
      </c>
      <c r="R113" s="9">
        <v>164.43333333333334</v>
      </c>
      <c r="S113" s="9">
        <v>167.7</v>
      </c>
    </row>
    <row r="114" spans="5:19" ht="14.4" x14ac:dyDescent="0.3">
      <c r="E114" s="2" t="s">
        <v>34</v>
      </c>
      <c r="F114" s="2">
        <v>2022</v>
      </c>
      <c r="G114" s="2" t="s">
        <v>37</v>
      </c>
      <c r="H114" s="3">
        <v>44652</v>
      </c>
      <c r="I114" s="2" t="str">
        <f t="shared" si="3"/>
        <v>Post-Covid</v>
      </c>
      <c r="J114" s="9">
        <v>170.8</v>
      </c>
      <c r="K114" s="9">
        <v>193.9</v>
      </c>
      <c r="L114" s="9">
        <v>172.8</v>
      </c>
      <c r="M114" s="9">
        <v>167</v>
      </c>
      <c r="N114" s="9">
        <v>172.2</v>
      </c>
      <c r="O114" s="9">
        <v>166.9</v>
      </c>
      <c r="P114" s="9">
        <v>174</v>
      </c>
      <c r="Q114" s="9">
        <v>162.6</v>
      </c>
      <c r="R114" s="9">
        <v>165.73333333333332</v>
      </c>
      <c r="S114" s="9">
        <v>170.1</v>
      </c>
    </row>
    <row r="115" spans="5:19" ht="14.4" x14ac:dyDescent="0.3">
      <c r="E115" s="2" t="s">
        <v>34</v>
      </c>
      <c r="F115" s="2">
        <v>2022</v>
      </c>
      <c r="G115" s="2" t="s">
        <v>38</v>
      </c>
      <c r="H115" s="3">
        <v>44682</v>
      </c>
      <c r="I115" s="2" t="str">
        <f t="shared" si="3"/>
        <v>Post-Covid</v>
      </c>
      <c r="J115" s="9">
        <v>173.3</v>
      </c>
      <c r="K115" s="9">
        <v>194.1</v>
      </c>
      <c r="L115" s="9">
        <v>174.6</v>
      </c>
      <c r="M115" s="9">
        <v>167.5</v>
      </c>
      <c r="N115" s="9">
        <v>174.6</v>
      </c>
      <c r="O115" s="9">
        <v>167.9</v>
      </c>
      <c r="P115" s="9">
        <v>174.8</v>
      </c>
      <c r="Q115" s="9">
        <v>163</v>
      </c>
      <c r="R115" s="9">
        <v>166.23333333333332</v>
      </c>
      <c r="S115" s="9">
        <v>171.7</v>
      </c>
    </row>
    <row r="116" spans="5:19" ht="14.4" x14ac:dyDescent="0.3">
      <c r="E116" s="2" t="s">
        <v>34</v>
      </c>
      <c r="F116" s="2">
        <v>2022</v>
      </c>
      <c r="G116" s="2" t="s">
        <v>39</v>
      </c>
      <c r="H116" s="3">
        <v>44713</v>
      </c>
      <c r="I116" s="2" t="str">
        <f t="shared" si="3"/>
        <v>Post-Covid</v>
      </c>
      <c r="J116" s="9">
        <v>174.9</v>
      </c>
      <c r="K116" s="9">
        <v>194.3</v>
      </c>
      <c r="L116" s="9">
        <v>176</v>
      </c>
      <c r="M116" s="9">
        <v>166.8</v>
      </c>
      <c r="N116" s="9">
        <v>176</v>
      </c>
      <c r="O116" s="9">
        <v>169</v>
      </c>
      <c r="P116" s="9">
        <v>175.4</v>
      </c>
      <c r="Q116" s="9">
        <v>161.1</v>
      </c>
      <c r="R116" s="9">
        <v>167.20000000000002</v>
      </c>
      <c r="S116" s="9">
        <v>172.6</v>
      </c>
    </row>
    <row r="117" spans="5:19" ht="14.4" x14ac:dyDescent="0.3">
      <c r="E117" s="2" t="s">
        <v>34</v>
      </c>
      <c r="F117" s="2">
        <v>2022</v>
      </c>
      <c r="G117" s="2" t="s">
        <v>40</v>
      </c>
      <c r="H117" s="3">
        <v>44743</v>
      </c>
      <c r="I117" s="2" t="str">
        <f t="shared" si="3"/>
        <v>Post-Covid</v>
      </c>
      <c r="J117" s="9">
        <v>175</v>
      </c>
      <c r="K117" s="9">
        <v>194.6</v>
      </c>
      <c r="L117" s="9">
        <v>177.3</v>
      </c>
      <c r="M117" s="9">
        <v>167.8</v>
      </c>
      <c r="N117" s="9">
        <v>179.6</v>
      </c>
      <c r="O117" s="9">
        <v>171.4</v>
      </c>
      <c r="P117" s="9">
        <v>176.1</v>
      </c>
      <c r="Q117" s="9">
        <v>161.6</v>
      </c>
      <c r="R117" s="9">
        <v>167.8</v>
      </c>
      <c r="S117" s="9">
        <v>173.4</v>
      </c>
    </row>
    <row r="118" spans="5:19" ht="14.4" x14ac:dyDescent="0.3">
      <c r="E118" s="2" t="s">
        <v>34</v>
      </c>
      <c r="F118" s="2">
        <v>2022</v>
      </c>
      <c r="G118" s="2" t="s">
        <v>41</v>
      </c>
      <c r="H118" s="3">
        <v>44774</v>
      </c>
      <c r="I118" s="2" t="str">
        <f t="shared" si="3"/>
        <v>Post-Covid</v>
      </c>
      <c r="J118" s="9">
        <v>176.3</v>
      </c>
      <c r="K118" s="9">
        <v>195</v>
      </c>
      <c r="L118" s="9">
        <v>178.5</v>
      </c>
      <c r="M118" s="9">
        <v>169</v>
      </c>
      <c r="N118" s="9">
        <v>178.8</v>
      </c>
      <c r="O118" s="9">
        <v>172.3</v>
      </c>
      <c r="P118" s="9">
        <v>176.8</v>
      </c>
      <c r="Q118" s="9">
        <v>161.9</v>
      </c>
      <c r="R118" s="9">
        <v>168.86666666666665</v>
      </c>
      <c r="S118" s="9">
        <v>174.3</v>
      </c>
    </row>
    <row r="119" spans="5:19" ht="14.4" x14ac:dyDescent="0.3">
      <c r="E119" s="2" t="s">
        <v>34</v>
      </c>
      <c r="F119" s="2">
        <v>2022</v>
      </c>
      <c r="G119" s="2" t="s">
        <v>42</v>
      </c>
      <c r="H119" s="3">
        <v>44805</v>
      </c>
      <c r="I119" s="2" t="str">
        <f t="shared" si="3"/>
        <v>Post-Covid</v>
      </c>
      <c r="J119" s="9">
        <v>177.8</v>
      </c>
      <c r="K119" s="9">
        <v>195.9</v>
      </c>
      <c r="L119" s="9">
        <v>179.9</v>
      </c>
      <c r="M119" s="9">
        <v>169.5</v>
      </c>
      <c r="N119" s="9">
        <v>179.5</v>
      </c>
      <c r="O119" s="9">
        <v>173.1</v>
      </c>
      <c r="P119" s="9">
        <v>177.8</v>
      </c>
      <c r="Q119" s="9">
        <v>162.30000000000001</v>
      </c>
      <c r="R119" s="9">
        <v>169.33333333333334</v>
      </c>
      <c r="S119" s="9">
        <v>175.3</v>
      </c>
    </row>
    <row r="120" spans="5:19" ht="14.4" x14ac:dyDescent="0.3">
      <c r="E120" s="2" t="s">
        <v>34</v>
      </c>
      <c r="F120" s="2">
        <v>2022</v>
      </c>
      <c r="G120" s="2" t="s">
        <v>43</v>
      </c>
      <c r="H120" s="3">
        <v>44835</v>
      </c>
      <c r="I120" s="2" t="str">
        <f t="shared" si="3"/>
        <v>Post-Covid</v>
      </c>
      <c r="J120" s="9">
        <v>179.6</v>
      </c>
      <c r="K120" s="9">
        <v>196.3</v>
      </c>
      <c r="L120" s="9">
        <v>181</v>
      </c>
      <c r="M120" s="9">
        <v>171.2</v>
      </c>
      <c r="N120" s="9">
        <v>180.5</v>
      </c>
      <c r="O120" s="9">
        <v>173.4</v>
      </c>
      <c r="P120" s="9">
        <v>178.7</v>
      </c>
      <c r="Q120" s="9">
        <v>162.9</v>
      </c>
      <c r="R120" s="9">
        <v>170.23333333333335</v>
      </c>
      <c r="S120" s="9">
        <v>176.7</v>
      </c>
    </row>
    <row r="121" spans="5:19" ht="14.4" x14ac:dyDescent="0.3">
      <c r="E121" s="2" t="s">
        <v>34</v>
      </c>
      <c r="F121" s="2">
        <v>2022</v>
      </c>
      <c r="G121" s="2" t="s">
        <v>44</v>
      </c>
      <c r="H121" s="3">
        <v>44866</v>
      </c>
      <c r="I121" s="2" t="str">
        <f t="shared" si="3"/>
        <v>Post-Covid</v>
      </c>
      <c r="J121" s="9">
        <v>178.3</v>
      </c>
      <c r="K121" s="9">
        <v>196.9</v>
      </c>
      <c r="L121" s="9">
        <v>182.1</v>
      </c>
      <c r="M121" s="9">
        <v>171.8</v>
      </c>
      <c r="N121" s="9">
        <v>181.3</v>
      </c>
      <c r="O121" s="9">
        <v>173.7</v>
      </c>
      <c r="P121" s="9">
        <v>179.8</v>
      </c>
      <c r="Q121" s="9">
        <v>163</v>
      </c>
      <c r="R121" s="9">
        <v>171.16666666666666</v>
      </c>
      <c r="S121" s="9">
        <v>176.5</v>
      </c>
    </row>
    <row r="122" spans="5:19" ht="14.4" x14ac:dyDescent="0.3">
      <c r="E122" s="2" t="s">
        <v>34</v>
      </c>
      <c r="F122" s="2">
        <v>2022</v>
      </c>
      <c r="G122" s="2" t="s">
        <v>45</v>
      </c>
      <c r="H122" s="3">
        <v>44896</v>
      </c>
      <c r="I122" s="2" t="str">
        <f t="shared" si="3"/>
        <v>Post-Covid</v>
      </c>
      <c r="J122" s="9">
        <v>175.9</v>
      </c>
      <c r="K122" s="9">
        <v>197.3</v>
      </c>
      <c r="L122" s="9">
        <v>183</v>
      </c>
      <c r="M122" s="9">
        <v>170.7</v>
      </c>
      <c r="N122" s="9">
        <v>182</v>
      </c>
      <c r="O122" s="9">
        <v>174.1</v>
      </c>
      <c r="P122" s="9">
        <v>181.1</v>
      </c>
      <c r="Q122" s="9">
        <v>163.4</v>
      </c>
      <c r="R122" s="9">
        <v>172.26666666666665</v>
      </c>
      <c r="S122" s="9">
        <v>175.7</v>
      </c>
    </row>
    <row r="123" spans="5:19" ht="14.4" x14ac:dyDescent="0.3">
      <c r="E123" s="2" t="s">
        <v>34</v>
      </c>
      <c r="F123" s="2">
        <v>2023</v>
      </c>
      <c r="G123" s="2" t="s">
        <v>31</v>
      </c>
      <c r="H123" s="3">
        <v>44927</v>
      </c>
      <c r="I123" s="2" t="str">
        <f t="shared" si="3"/>
        <v>Post-Covid</v>
      </c>
      <c r="J123" s="9">
        <v>176.7</v>
      </c>
      <c r="K123" s="9">
        <v>198.2</v>
      </c>
      <c r="L123" s="9">
        <v>183.8</v>
      </c>
      <c r="M123" s="9">
        <v>172.1</v>
      </c>
      <c r="N123" s="9">
        <v>182</v>
      </c>
      <c r="O123" s="9">
        <v>174.3</v>
      </c>
      <c r="P123" s="9">
        <v>182.3</v>
      </c>
      <c r="Q123" s="9">
        <v>163.6</v>
      </c>
      <c r="R123" s="9">
        <v>173.66666666666666</v>
      </c>
      <c r="S123" s="9">
        <v>176.5</v>
      </c>
    </row>
    <row r="124" spans="5:19" ht="14.4" x14ac:dyDescent="0.3">
      <c r="E124" s="2" t="s">
        <v>34</v>
      </c>
      <c r="F124" s="2">
        <v>2023</v>
      </c>
      <c r="G124" s="2" t="s">
        <v>35</v>
      </c>
      <c r="H124" s="3">
        <v>44958</v>
      </c>
      <c r="I124" s="2" t="str">
        <f t="shared" si="3"/>
        <v>Post-Covid</v>
      </c>
      <c r="J124" s="9">
        <v>177</v>
      </c>
      <c r="K124" s="9">
        <v>199.5</v>
      </c>
      <c r="L124" s="9">
        <v>185.1</v>
      </c>
      <c r="M124" s="9">
        <v>173.5</v>
      </c>
      <c r="N124" s="9">
        <v>182.1</v>
      </c>
      <c r="O124" s="9">
        <v>175</v>
      </c>
      <c r="P124" s="9">
        <v>184.4</v>
      </c>
      <c r="Q124" s="9">
        <v>164.2</v>
      </c>
      <c r="R124" s="9">
        <v>175.16666666666666</v>
      </c>
      <c r="S124" s="9">
        <v>177.2</v>
      </c>
    </row>
    <row r="125" spans="5:19" ht="14.4" x14ac:dyDescent="0.3">
      <c r="E125" s="2" t="s">
        <v>34</v>
      </c>
      <c r="F125" s="2">
        <v>2023</v>
      </c>
      <c r="G125" s="2" t="s">
        <v>36</v>
      </c>
      <c r="H125" s="3">
        <v>44986</v>
      </c>
      <c r="I125" s="2" t="str">
        <f t="shared" si="3"/>
        <v>Post-Covid</v>
      </c>
      <c r="J125" s="9">
        <v>177</v>
      </c>
      <c r="K125" s="9">
        <v>199.5</v>
      </c>
      <c r="L125" s="9">
        <v>185.1</v>
      </c>
      <c r="M125" s="9">
        <v>173.5</v>
      </c>
      <c r="N125" s="9">
        <v>181.9</v>
      </c>
      <c r="O125" s="9">
        <v>175</v>
      </c>
      <c r="P125" s="9">
        <v>184.4</v>
      </c>
      <c r="Q125" s="9">
        <v>164.2</v>
      </c>
      <c r="R125" s="9">
        <v>175.16666666666666</v>
      </c>
      <c r="S125" s="9">
        <v>177.2</v>
      </c>
    </row>
    <row r="126" spans="5:19" ht="14.4" x14ac:dyDescent="0.3">
      <c r="E126" s="2" t="s">
        <v>34</v>
      </c>
      <c r="F126" s="2">
        <v>2023</v>
      </c>
      <c r="G126" s="2" t="s">
        <v>37</v>
      </c>
      <c r="H126" s="3">
        <v>45017</v>
      </c>
      <c r="I126" s="2" t="str">
        <f t="shared" si="3"/>
        <v>Post-Covid</v>
      </c>
      <c r="J126" s="9">
        <v>177.9</v>
      </c>
      <c r="K126" s="9">
        <v>200.6</v>
      </c>
      <c r="L126" s="9">
        <v>185.7</v>
      </c>
      <c r="M126" s="9">
        <v>175.2</v>
      </c>
      <c r="N126" s="9">
        <v>181.7</v>
      </c>
      <c r="O126" s="9">
        <v>176.4</v>
      </c>
      <c r="P126" s="9">
        <v>185</v>
      </c>
      <c r="Q126" s="9">
        <v>164.5</v>
      </c>
      <c r="R126" s="9">
        <v>176.43333333333331</v>
      </c>
      <c r="S126" s="9">
        <v>178.1</v>
      </c>
    </row>
    <row r="127" spans="5:19" ht="14.4" x14ac:dyDescent="0.3">
      <c r="E127" s="2" t="s">
        <v>34</v>
      </c>
      <c r="F127" s="2">
        <v>2023</v>
      </c>
      <c r="G127" s="2" t="s">
        <v>38</v>
      </c>
      <c r="H127" s="3">
        <v>45047</v>
      </c>
      <c r="I127" s="2" t="str">
        <f t="shared" si="3"/>
        <v>Post-Covid</v>
      </c>
      <c r="J127" s="9">
        <v>179.1</v>
      </c>
      <c r="K127" s="9">
        <v>201</v>
      </c>
      <c r="L127" s="9">
        <v>186.2</v>
      </c>
      <c r="M127" s="9">
        <v>175.6</v>
      </c>
      <c r="N127" s="9">
        <v>182.8</v>
      </c>
      <c r="O127" s="9">
        <v>177.1</v>
      </c>
      <c r="P127" s="9">
        <v>185.7</v>
      </c>
      <c r="Q127" s="9">
        <v>164.8</v>
      </c>
      <c r="R127" s="9">
        <v>177.19999999999996</v>
      </c>
      <c r="S127" s="9">
        <v>179.1</v>
      </c>
    </row>
  </sheetData>
  <mergeCells count="1">
    <mergeCell ref="U4:AC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2935-1161-4F12-BE49-1DC76E5CA31A}">
  <dimension ref="A1:AF21"/>
  <sheetViews>
    <sheetView zoomScale="80" zoomScaleNormal="80" workbookViewId="0">
      <selection activeCell="I5" sqref="I5"/>
    </sheetView>
  </sheetViews>
  <sheetFormatPr defaultRowHeight="13.8" x14ac:dyDescent="0.25"/>
  <cols>
    <col min="1" max="1" width="28.109375" customWidth="1"/>
    <col min="2" max="2" width="13.77734375" customWidth="1"/>
    <col min="3" max="3" width="18.33203125" customWidth="1"/>
    <col min="4" max="4" width="7" bestFit="1" customWidth="1"/>
    <col min="5" max="5" width="11" bestFit="1" customWidth="1"/>
    <col min="6" max="6" width="17.6640625" bestFit="1" customWidth="1"/>
    <col min="7" max="7" width="11.77734375" bestFit="1" customWidth="1"/>
    <col min="8" max="8" width="5.44140625" bestFit="1" customWidth="1"/>
    <col min="9" max="9" width="15.5546875" bestFit="1" customWidth="1"/>
    <col min="10" max="10" width="10.6640625" bestFit="1" customWidth="1"/>
    <col min="11" max="11" width="5.44140625" bestFit="1" customWidth="1"/>
    <col min="12" max="12" width="9.77734375" bestFit="1" customWidth="1"/>
    <col min="13" max="13" width="17" bestFit="1" customWidth="1"/>
    <col min="14" max="14" width="20.77734375" bestFit="1" customWidth="1"/>
    <col min="15" max="15" width="5.88671875" bestFit="1" customWidth="1"/>
    <col min="16" max="16" width="20.6640625" bestFit="1" customWidth="1"/>
    <col min="17" max="17" width="29.88671875" bestFit="1" customWidth="1"/>
    <col min="18" max="18" width="17" bestFit="1" customWidth="1"/>
    <col min="19" max="19" width="24.33203125" bestFit="1" customWidth="1"/>
    <col min="20" max="20" width="7.44140625" bestFit="1" customWidth="1"/>
    <col min="21" max="21" width="8.5546875" bestFit="1" customWidth="1"/>
    <col min="22" max="22" width="19.109375" bestFit="1" customWidth="1"/>
    <col min="23" max="23" width="7.33203125" bestFit="1" customWidth="1"/>
    <col min="24" max="24" width="11.6640625" bestFit="1" customWidth="1"/>
    <col min="25" max="25" width="25.109375" bestFit="1" customWidth="1"/>
    <col min="26" max="26" width="6.21875" bestFit="1" customWidth="1"/>
    <col min="27" max="27" width="25.44140625" bestFit="1" customWidth="1"/>
    <col min="28" max="28" width="23.109375" bestFit="1" customWidth="1"/>
    <col min="30" max="30" width="21" bestFit="1" customWidth="1"/>
    <col min="31" max="31" width="12.21875" bestFit="1" customWidth="1"/>
    <col min="32" max="32" width="12" bestFit="1" customWidth="1"/>
  </cols>
  <sheetData>
    <row r="1" spans="1:32" ht="15.6" x14ac:dyDescent="0.3">
      <c r="A1" s="4" t="s">
        <v>66</v>
      </c>
    </row>
    <row r="3" spans="1:32" ht="14.4" x14ac:dyDescent="0.3">
      <c r="A3" s="1" t="s">
        <v>0</v>
      </c>
      <c r="B3" s="1" t="s">
        <v>1</v>
      </c>
      <c r="C3" s="1" t="s">
        <v>2</v>
      </c>
      <c r="D3" s="1" t="s">
        <v>48</v>
      </c>
      <c r="E3" s="1" t="s">
        <v>49</v>
      </c>
      <c r="F3" s="1" t="s">
        <v>3</v>
      </c>
      <c r="G3" s="1" t="s">
        <v>4</v>
      </c>
      <c r="H3" s="1" t="s">
        <v>5</v>
      </c>
      <c r="I3" s="1" t="s">
        <v>6</v>
      </c>
      <c r="J3" s="1" t="s">
        <v>7</v>
      </c>
      <c r="K3" s="1" t="s">
        <v>8</v>
      </c>
      <c r="L3" s="1" t="s">
        <v>9</v>
      </c>
      <c r="M3" s="1" t="s">
        <v>10</v>
      </c>
      <c r="N3" s="1" t="s">
        <v>11</v>
      </c>
      <c r="O3" s="1" t="s">
        <v>12</v>
      </c>
      <c r="P3" s="1" t="s">
        <v>13</v>
      </c>
      <c r="Q3" s="1" t="s">
        <v>14</v>
      </c>
      <c r="R3" s="1"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row>
    <row r="4" spans="1:32" ht="14.4" x14ac:dyDescent="0.3">
      <c r="A4" s="2" t="s">
        <v>34</v>
      </c>
      <c r="B4" s="2">
        <v>2023</v>
      </c>
      <c r="C4" s="2" t="s">
        <v>38</v>
      </c>
      <c r="D4" s="3">
        <v>45047</v>
      </c>
      <c r="E4" s="2" t="s">
        <v>78</v>
      </c>
      <c r="F4" s="9">
        <v>173.7</v>
      </c>
      <c r="G4" s="9">
        <v>214.3</v>
      </c>
      <c r="H4" s="9">
        <v>173.2</v>
      </c>
      <c r="I4" s="9">
        <v>179.5</v>
      </c>
      <c r="J4" s="9">
        <v>170</v>
      </c>
      <c r="K4" s="9">
        <v>172.2</v>
      </c>
      <c r="L4" s="9">
        <v>161</v>
      </c>
      <c r="M4" s="9">
        <v>175.6</v>
      </c>
      <c r="N4" s="9">
        <v>122.7</v>
      </c>
      <c r="O4" s="9">
        <v>218</v>
      </c>
      <c r="P4" s="9">
        <v>173.4</v>
      </c>
      <c r="Q4" s="9">
        <v>194.2</v>
      </c>
      <c r="R4" s="9">
        <v>179.1</v>
      </c>
      <c r="S4" s="9">
        <v>201</v>
      </c>
      <c r="T4" s="9">
        <v>187.3</v>
      </c>
      <c r="U4" s="9">
        <v>179.7</v>
      </c>
      <c r="V4" s="9">
        <v>186.2</v>
      </c>
      <c r="W4" s="9">
        <v>175.6</v>
      </c>
      <c r="X4" s="9">
        <v>182.8</v>
      </c>
      <c r="Y4" s="9">
        <v>175.2</v>
      </c>
      <c r="Z4" s="9">
        <v>185.7</v>
      </c>
      <c r="AA4" s="9">
        <v>164.8</v>
      </c>
      <c r="AB4" s="9">
        <v>171.2</v>
      </c>
      <c r="AC4" s="9">
        <v>177.1</v>
      </c>
      <c r="AD4" s="9">
        <v>185.2</v>
      </c>
      <c r="AE4" s="9">
        <v>175.7</v>
      </c>
      <c r="AF4" s="9">
        <v>179.1</v>
      </c>
    </row>
    <row r="8" spans="1:32" ht="41.4" x14ac:dyDescent="0.25">
      <c r="A8" s="60" t="s">
        <v>75</v>
      </c>
      <c r="B8" s="61" t="s">
        <v>96</v>
      </c>
      <c r="C8" s="60" t="s">
        <v>94</v>
      </c>
    </row>
    <row r="9" spans="1:32" x14ac:dyDescent="0.25">
      <c r="A9" s="24" t="s">
        <v>58</v>
      </c>
      <c r="B9" s="56">
        <f>SUM(F4,G4,H4,I4,J4,K4,L4,M4,N4,O4,P4,Q4)</f>
        <v>2127.8000000000002</v>
      </c>
      <c r="C9" s="57">
        <f>B9/SUM($B$9:$B$17)</f>
        <v>0.51728497107016103</v>
      </c>
    </row>
    <row r="10" spans="1:32" x14ac:dyDescent="0.25">
      <c r="A10" s="24" t="s">
        <v>16</v>
      </c>
      <c r="B10" s="55">
        <v>201</v>
      </c>
      <c r="C10" s="57">
        <f t="shared" ref="C10:C18" si="0">B10/SUM($B$9:$B$17)</f>
        <v>4.8864686147712361E-2</v>
      </c>
    </row>
    <row r="11" spans="1:32" x14ac:dyDescent="0.25">
      <c r="A11" s="24" t="s">
        <v>95</v>
      </c>
      <c r="B11" s="54">
        <f>SUM(T4,U4)</f>
        <v>367</v>
      </c>
      <c r="C11" s="57">
        <f t="shared" si="0"/>
        <v>8.9220596100549429E-2</v>
      </c>
    </row>
    <row r="12" spans="1:32" x14ac:dyDescent="0.25">
      <c r="A12" s="24" t="s">
        <v>23</v>
      </c>
      <c r="B12" s="55">
        <v>185.7</v>
      </c>
      <c r="C12" s="57">
        <f t="shared" si="0"/>
        <v>4.5145135411095445E-2</v>
      </c>
    </row>
    <row r="13" spans="1:32" x14ac:dyDescent="0.25">
      <c r="A13" s="24" t="s">
        <v>59</v>
      </c>
      <c r="B13" s="55">
        <v>182.8</v>
      </c>
      <c r="C13" s="57">
        <f t="shared" si="0"/>
        <v>4.4440122526377211E-2</v>
      </c>
    </row>
    <row r="14" spans="1:32" x14ac:dyDescent="0.25">
      <c r="A14" s="24" t="s">
        <v>26</v>
      </c>
      <c r="B14" s="55">
        <v>177.1</v>
      </c>
      <c r="C14" s="57">
        <f t="shared" si="0"/>
        <v>4.305440754606895E-2</v>
      </c>
    </row>
    <row r="15" spans="1:32" x14ac:dyDescent="0.25">
      <c r="A15" s="24" t="s">
        <v>20</v>
      </c>
      <c r="B15" s="55">
        <v>175.6</v>
      </c>
      <c r="C15" s="57">
        <f t="shared" si="0"/>
        <v>4.2689745709145722E-2</v>
      </c>
    </row>
    <row r="16" spans="1:32" x14ac:dyDescent="0.25">
      <c r="A16" s="24" t="s">
        <v>60</v>
      </c>
      <c r="B16" s="55">
        <v>164.8</v>
      </c>
      <c r="C16" s="57">
        <f t="shared" si="0"/>
        <v>4.0064180483298496E-2</v>
      </c>
    </row>
    <row r="17" spans="1:5" x14ac:dyDescent="0.25">
      <c r="A17" s="53" t="s">
        <v>28</v>
      </c>
      <c r="B17" s="55">
        <f>SUM(Y4,AB4,AD4)</f>
        <v>531.59999999999991</v>
      </c>
      <c r="C17" s="57">
        <f t="shared" si="0"/>
        <v>0.12923615500559146</v>
      </c>
    </row>
    <row r="18" spans="1:5" x14ac:dyDescent="0.25">
      <c r="A18" s="58" t="s">
        <v>97</v>
      </c>
      <c r="B18" s="31">
        <f>SUM(B9:B17)</f>
        <v>4113.3999999999996</v>
      </c>
      <c r="C18" s="59">
        <f t="shared" si="0"/>
        <v>1</v>
      </c>
    </row>
    <row r="20" spans="1:5" ht="17.399999999999999" x14ac:dyDescent="0.3">
      <c r="E20" s="63" t="s">
        <v>98</v>
      </c>
    </row>
    <row r="21" spans="1:5" x14ac:dyDescent="0.25">
      <c r="E21" s="62" t="s">
        <v>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93D6-6FDC-42EB-82AE-3F8950B30C61}">
  <dimension ref="A1:L125"/>
  <sheetViews>
    <sheetView zoomScale="80" zoomScaleNormal="80" workbookViewId="0">
      <selection activeCell="I31" sqref="I31"/>
    </sheetView>
  </sheetViews>
  <sheetFormatPr defaultRowHeight="13.8" x14ac:dyDescent="0.25"/>
  <cols>
    <col min="1" max="1" width="10.6640625" bestFit="1" customWidth="1"/>
    <col min="2" max="2" width="5" bestFit="1" customWidth="1"/>
    <col min="3" max="3" width="9.44140625" bestFit="1" customWidth="1"/>
    <col min="4" max="4" width="7" bestFit="1" customWidth="1"/>
    <col min="5" max="5" width="10.88671875" bestFit="1" customWidth="1"/>
    <col min="6" max="6" width="14.109375" bestFit="1" customWidth="1"/>
    <col min="9" max="9" width="10.77734375" bestFit="1" customWidth="1"/>
    <col min="11" max="11" width="14.109375" bestFit="1" customWidth="1"/>
    <col min="12" max="12" width="18.44140625" bestFit="1" customWidth="1"/>
  </cols>
  <sheetData>
    <row r="1" spans="1:12" ht="15.6" x14ac:dyDescent="0.3">
      <c r="A1" s="1" t="s">
        <v>0</v>
      </c>
      <c r="B1" s="1" t="s">
        <v>1</v>
      </c>
      <c r="C1" s="1" t="s">
        <v>2</v>
      </c>
      <c r="D1" s="1" t="s">
        <v>48</v>
      </c>
      <c r="E1" s="1" t="s">
        <v>49</v>
      </c>
      <c r="F1" s="8" t="s">
        <v>29</v>
      </c>
      <c r="I1" s="28" t="s">
        <v>0</v>
      </c>
      <c r="J1" s="28" t="s">
        <v>1</v>
      </c>
      <c r="K1" s="28" t="s">
        <v>29</v>
      </c>
      <c r="L1" s="28" t="s">
        <v>79</v>
      </c>
    </row>
    <row r="2" spans="1:12" ht="14.4" x14ac:dyDescent="0.3">
      <c r="A2" s="2" t="s">
        <v>34</v>
      </c>
      <c r="B2" s="2">
        <v>2013</v>
      </c>
      <c r="C2" s="2" t="s">
        <v>31</v>
      </c>
      <c r="D2" s="3">
        <v>41275</v>
      </c>
      <c r="E2" s="2" t="s">
        <v>77</v>
      </c>
      <c r="F2" s="9">
        <v>104.6</v>
      </c>
      <c r="I2" s="29" t="s">
        <v>34</v>
      </c>
      <c r="J2" s="30">
        <v>2017</v>
      </c>
      <c r="K2" s="31">
        <f>AVERAGEIF($B$2:$B$125,J2,$F$2:$F$125)</f>
        <v>133.5</v>
      </c>
      <c r="L2" s="32"/>
    </row>
    <row r="3" spans="1:12" ht="14.4" x14ac:dyDescent="0.3">
      <c r="A3" s="2" t="s">
        <v>34</v>
      </c>
      <c r="B3" s="2">
        <v>2013</v>
      </c>
      <c r="C3" s="2" t="s">
        <v>35</v>
      </c>
      <c r="D3" s="3">
        <v>41306</v>
      </c>
      <c r="E3" s="2" t="s">
        <v>77</v>
      </c>
      <c r="F3" s="9">
        <v>105.3</v>
      </c>
      <c r="I3" s="29" t="s">
        <v>34</v>
      </c>
      <c r="J3" s="30">
        <v>2018</v>
      </c>
      <c r="K3" s="31">
        <f t="shared" ref="K3:K8" si="0">AVERAGEIF($B$2:$B$125,J3,$F$2:$F$125)</f>
        <v>138.77500000000001</v>
      </c>
      <c r="L3" s="33">
        <f>(K3-K2)/K2*100</f>
        <v>3.9513108614232255</v>
      </c>
    </row>
    <row r="4" spans="1:12" ht="14.4" x14ac:dyDescent="0.3">
      <c r="A4" s="2" t="s">
        <v>34</v>
      </c>
      <c r="B4" s="2">
        <v>2013</v>
      </c>
      <c r="C4" s="2" t="s">
        <v>36</v>
      </c>
      <c r="D4" s="3">
        <v>41334</v>
      </c>
      <c r="E4" s="2" t="s">
        <v>77</v>
      </c>
      <c r="F4" s="9">
        <v>105.5</v>
      </c>
      <c r="I4" s="29" t="s">
        <v>34</v>
      </c>
      <c r="J4" s="30">
        <v>2019</v>
      </c>
      <c r="K4" s="31">
        <f t="shared" si="0"/>
        <v>144.18181818181819</v>
      </c>
      <c r="L4" s="33">
        <f t="shared" ref="L4:L8" si="1">(K4-K3)/K3*100</f>
        <v>3.8961038961038952</v>
      </c>
    </row>
    <row r="5" spans="1:12" ht="14.4" x14ac:dyDescent="0.3">
      <c r="A5" s="2" t="s">
        <v>34</v>
      </c>
      <c r="B5" s="2">
        <v>2013</v>
      </c>
      <c r="C5" s="2" t="s">
        <v>37</v>
      </c>
      <c r="D5" s="3">
        <v>41365</v>
      </c>
      <c r="E5" s="2" t="s">
        <v>77</v>
      </c>
      <c r="F5" s="9">
        <v>106.1</v>
      </c>
      <c r="I5" s="29" t="s">
        <v>34</v>
      </c>
      <c r="J5" s="30">
        <v>2020</v>
      </c>
      <c r="K5" s="31">
        <f t="shared" si="0"/>
        <v>151.08825136612026</v>
      </c>
      <c r="L5" s="33">
        <f t="shared" si="1"/>
        <v>4.79008606729652</v>
      </c>
    </row>
    <row r="6" spans="1:12" ht="14.4" x14ac:dyDescent="0.3">
      <c r="A6" s="2" t="s">
        <v>34</v>
      </c>
      <c r="B6" s="2">
        <v>2013</v>
      </c>
      <c r="C6" s="2" t="s">
        <v>38</v>
      </c>
      <c r="D6" s="3">
        <v>41395</v>
      </c>
      <c r="E6" s="2" t="s">
        <v>77</v>
      </c>
      <c r="F6" s="9">
        <v>106.9</v>
      </c>
      <c r="I6" s="29" t="s">
        <v>34</v>
      </c>
      <c r="J6" s="30">
        <v>2021</v>
      </c>
      <c r="K6" s="31">
        <f t="shared" si="0"/>
        <v>161.45833333333334</v>
      </c>
      <c r="L6" s="33">
        <f t="shared" si="1"/>
        <v>6.863592551669738</v>
      </c>
    </row>
    <row r="7" spans="1:12" ht="14.4" x14ac:dyDescent="0.3">
      <c r="A7" s="2" t="s">
        <v>34</v>
      </c>
      <c r="B7" s="2">
        <v>2013</v>
      </c>
      <c r="C7" s="2" t="s">
        <v>39</v>
      </c>
      <c r="D7" s="3">
        <v>41426</v>
      </c>
      <c r="E7" s="2" t="s">
        <v>77</v>
      </c>
      <c r="F7" s="9">
        <v>109.3</v>
      </c>
      <c r="I7" s="29" t="s">
        <v>34</v>
      </c>
      <c r="J7" s="30">
        <v>2022</v>
      </c>
      <c r="K7" s="31">
        <f t="shared" si="0"/>
        <v>172.14999999999998</v>
      </c>
      <c r="L7" s="33">
        <f t="shared" si="1"/>
        <v>6.6219354838709474</v>
      </c>
    </row>
    <row r="8" spans="1:12" ht="14.4" x14ac:dyDescent="0.3">
      <c r="A8" s="2" t="s">
        <v>34</v>
      </c>
      <c r="B8" s="2">
        <v>2013</v>
      </c>
      <c r="C8" s="2" t="s">
        <v>40</v>
      </c>
      <c r="D8" s="3">
        <v>41456</v>
      </c>
      <c r="E8" s="2" t="s">
        <v>77</v>
      </c>
      <c r="F8" s="9">
        <v>111</v>
      </c>
      <c r="I8" s="29" t="s">
        <v>34</v>
      </c>
      <c r="J8" s="30">
        <v>2023</v>
      </c>
      <c r="K8" s="31">
        <f t="shared" si="0"/>
        <v>177.62</v>
      </c>
      <c r="L8" s="33">
        <f t="shared" si="1"/>
        <v>3.1774615161196791</v>
      </c>
    </row>
    <row r="9" spans="1:12" ht="14.4" x14ac:dyDescent="0.3">
      <c r="A9" s="2" t="s">
        <v>34</v>
      </c>
      <c r="B9" s="2">
        <v>2013</v>
      </c>
      <c r="C9" s="2" t="s">
        <v>41</v>
      </c>
      <c r="D9" s="3">
        <v>41487</v>
      </c>
      <c r="E9" s="2" t="s">
        <v>77</v>
      </c>
      <c r="F9" s="9">
        <v>112.4</v>
      </c>
    </row>
    <row r="10" spans="1:12" ht="14.4" x14ac:dyDescent="0.3">
      <c r="A10" s="2" t="s">
        <v>34</v>
      </c>
      <c r="B10" s="2">
        <v>2013</v>
      </c>
      <c r="C10" s="2" t="s">
        <v>42</v>
      </c>
      <c r="D10" s="3">
        <v>41518</v>
      </c>
      <c r="E10" s="2" t="s">
        <v>77</v>
      </c>
      <c r="F10" s="9">
        <v>113.7</v>
      </c>
    </row>
    <row r="11" spans="1:12" ht="14.4" x14ac:dyDescent="0.3">
      <c r="A11" s="2" t="s">
        <v>34</v>
      </c>
      <c r="B11" s="2">
        <v>2013</v>
      </c>
      <c r="C11" s="2" t="s">
        <v>43</v>
      </c>
      <c r="D11" s="3">
        <v>41548</v>
      </c>
      <c r="E11" s="2" t="s">
        <v>77</v>
      </c>
      <c r="F11" s="9">
        <v>114.8</v>
      </c>
    </row>
    <row r="12" spans="1:12" ht="14.4" x14ac:dyDescent="0.3">
      <c r="A12" s="2" t="s">
        <v>34</v>
      </c>
      <c r="B12" s="2">
        <v>2013</v>
      </c>
      <c r="C12" s="2" t="s">
        <v>44</v>
      </c>
      <c r="D12" s="3">
        <v>41579</v>
      </c>
      <c r="E12" s="2" t="s">
        <v>77</v>
      </c>
      <c r="F12" s="9">
        <v>116.3</v>
      </c>
    </row>
    <row r="13" spans="1:12" ht="14.4" x14ac:dyDescent="0.3">
      <c r="A13" s="2" t="s">
        <v>34</v>
      </c>
      <c r="B13" s="2">
        <v>2013</v>
      </c>
      <c r="C13" s="2" t="s">
        <v>45</v>
      </c>
      <c r="D13" s="3">
        <v>41609</v>
      </c>
      <c r="E13" s="2" t="s">
        <v>77</v>
      </c>
      <c r="F13" s="9">
        <v>114.5</v>
      </c>
    </row>
    <row r="14" spans="1:12" ht="14.4" x14ac:dyDescent="0.3">
      <c r="A14" s="2" t="s">
        <v>34</v>
      </c>
      <c r="B14" s="2">
        <v>2014</v>
      </c>
      <c r="C14" s="2" t="s">
        <v>31</v>
      </c>
      <c r="D14" s="3">
        <v>41640</v>
      </c>
      <c r="E14" s="2" t="s">
        <v>77</v>
      </c>
      <c r="F14" s="9">
        <v>113.6</v>
      </c>
    </row>
    <row r="15" spans="1:12" ht="14.4" x14ac:dyDescent="0.3">
      <c r="A15" s="2" t="s">
        <v>34</v>
      </c>
      <c r="B15" s="2">
        <v>2014</v>
      </c>
      <c r="C15" s="2" t="s">
        <v>35</v>
      </c>
      <c r="D15" s="3">
        <v>41671</v>
      </c>
      <c r="E15" s="2" t="s">
        <v>77</v>
      </c>
      <c r="F15" s="9">
        <v>113.6</v>
      </c>
    </row>
    <row r="16" spans="1:12" ht="14.4" x14ac:dyDescent="0.3">
      <c r="A16" s="2" t="s">
        <v>34</v>
      </c>
      <c r="B16" s="2">
        <v>2014</v>
      </c>
      <c r="C16" s="2" t="s">
        <v>46</v>
      </c>
      <c r="D16" s="3">
        <v>41699</v>
      </c>
      <c r="E16" s="2" t="s">
        <v>77</v>
      </c>
      <c r="F16" s="9">
        <v>114.2</v>
      </c>
    </row>
    <row r="17" spans="1:6" ht="14.4" x14ac:dyDescent="0.3">
      <c r="A17" s="2" t="s">
        <v>34</v>
      </c>
      <c r="B17" s="2">
        <v>2014</v>
      </c>
      <c r="C17" s="2" t="s">
        <v>37</v>
      </c>
      <c r="D17" s="3">
        <v>41730</v>
      </c>
      <c r="E17" s="2" t="s">
        <v>77</v>
      </c>
      <c r="F17" s="9">
        <v>115.1</v>
      </c>
    </row>
    <row r="18" spans="1:6" ht="14.4" x14ac:dyDescent="0.3">
      <c r="A18" s="2" t="s">
        <v>34</v>
      </c>
      <c r="B18" s="2">
        <v>2014</v>
      </c>
      <c r="C18" s="2" t="s">
        <v>38</v>
      </c>
      <c r="D18" s="3">
        <v>41760</v>
      </c>
      <c r="E18" s="2" t="s">
        <v>77</v>
      </c>
      <c r="F18" s="9">
        <v>115.8</v>
      </c>
    </row>
    <row r="19" spans="1:6" ht="14.4" x14ac:dyDescent="0.3">
      <c r="A19" s="2" t="s">
        <v>34</v>
      </c>
      <c r="B19" s="2">
        <v>2014</v>
      </c>
      <c r="C19" s="2" t="s">
        <v>39</v>
      </c>
      <c r="D19" s="3">
        <v>41791</v>
      </c>
      <c r="E19" s="2" t="s">
        <v>77</v>
      </c>
      <c r="F19" s="9">
        <v>116.7</v>
      </c>
    </row>
    <row r="20" spans="1:6" ht="14.4" x14ac:dyDescent="0.3">
      <c r="A20" s="2" t="s">
        <v>34</v>
      </c>
      <c r="B20" s="2">
        <v>2014</v>
      </c>
      <c r="C20" s="2" t="s">
        <v>40</v>
      </c>
      <c r="D20" s="3">
        <v>41821</v>
      </c>
      <c r="E20" s="2" t="s">
        <v>77</v>
      </c>
      <c r="F20" s="9">
        <v>119.2</v>
      </c>
    </row>
    <row r="21" spans="1:6" ht="14.4" x14ac:dyDescent="0.3">
      <c r="A21" s="2" t="s">
        <v>34</v>
      </c>
      <c r="B21" s="2">
        <v>2014</v>
      </c>
      <c r="C21" s="2" t="s">
        <v>41</v>
      </c>
      <c r="D21" s="3">
        <v>41852</v>
      </c>
      <c r="E21" s="2" t="s">
        <v>77</v>
      </c>
      <c r="F21" s="9">
        <v>120.3</v>
      </c>
    </row>
    <row r="22" spans="1:6" ht="14.4" x14ac:dyDescent="0.3">
      <c r="A22" s="2" t="s">
        <v>34</v>
      </c>
      <c r="B22" s="2">
        <v>2014</v>
      </c>
      <c r="C22" s="2" t="s">
        <v>42</v>
      </c>
      <c r="D22" s="3">
        <v>41883</v>
      </c>
      <c r="E22" s="2" t="s">
        <v>77</v>
      </c>
      <c r="F22" s="9">
        <v>120.1</v>
      </c>
    </row>
    <row r="23" spans="1:6" ht="14.4" x14ac:dyDescent="0.3">
      <c r="A23" s="2" t="s">
        <v>34</v>
      </c>
      <c r="B23" s="2">
        <v>2014</v>
      </c>
      <c r="C23" s="2" t="s">
        <v>43</v>
      </c>
      <c r="D23" s="3">
        <v>41913</v>
      </c>
      <c r="E23" s="2" t="s">
        <v>77</v>
      </c>
      <c r="F23" s="9">
        <v>120.1</v>
      </c>
    </row>
    <row r="24" spans="1:6" ht="14.4" x14ac:dyDescent="0.3">
      <c r="A24" s="2" t="s">
        <v>34</v>
      </c>
      <c r="B24" s="2">
        <v>2014</v>
      </c>
      <c r="C24" s="2" t="s">
        <v>44</v>
      </c>
      <c r="D24" s="3">
        <v>41944</v>
      </c>
      <c r="E24" s="2" t="s">
        <v>77</v>
      </c>
      <c r="F24" s="9">
        <v>120.1</v>
      </c>
    </row>
    <row r="25" spans="1:6" ht="14.4" x14ac:dyDescent="0.3">
      <c r="A25" s="2" t="s">
        <v>34</v>
      </c>
      <c r="B25" s="2">
        <v>2014</v>
      </c>
      <c r="C25" s="2"/>
      <c r="D25" s="3">
        <v>41974</v>
      </c>
      <c r="E25" s="2" t="s">
        <v>77</v>
      </c>
      <c r="F25" s="9">
        <v>119.4</v>
      </c>
    </row>
    <row r="26" spans="1:6" ht="14.4" x14ac:dyDescent="0.3">
      <c r="A26" s="2" t="s">
        <v>34</v>
      </c>
      <c r="B26" s="2">
        <v>2015</v>
      </c>
      <c r="C26" s="2" t="s">
        <v>31</v>
      </c>
      <c r="D26" s="3">
        <v>42005</v>
      </c>
      <c r="E26" s="2" t="s">
        <v>77</v>
      </c>
      <c r="F26" s="9">
        <v>119.5</v>
      </c>
    </row>
    <row r="27" spans="1:6" ht="14.4" x14ac:dyDescent="0.3">
      <c r="A27" s="2" t="s">
        <v>34</v>
      </c>
      <c r="B27" s="2">
        <v>2015</v>
      </c>
      <c r="C27" s="2" t="s">
        <v>35</v>
      </c>
      <c r="D27" s="3">
        <v>42036</v>
      </c>
      <c r="E27" s="2" t="s">
        <v>77</v>
      </c>
      <c r="F27" s="9">
        <v>119.7</v>
      </c>
    </row>
    <row r="28" spans="1:6" ht="14.4" x14ac:dyDescent="0.3">
      <c r="A28" s="2" t="s">
        <v>34</v>
      </c>
      <c r="B28" s="2">
        <v>2015</v>
      </c>
      <c r="C28" s="2" t="s">
        <v>36</v>
      </c>
      <c r="D28" s="3">
        <v>42064</v>
      </c>
      <c r="E28" s="2" t="s">
        <v>77</v>
      </c>
      <c r="F28" s="9">
        <v>120.2</v>
      </c>
    </row>
    <row r="29" spans="1:6" ht="14.4" x14ac:dyDescent="0.3">
      <c r="A29" s="2" t="s">
        <v>34</v>
      </c>
      <c r="B29" s="2">
        <v>2015</v>
      </c>
      <c r="C29" s="2" t="s">
        <v>37</v>
      </c>
      <c r="D29" s="3">
        <v>42095</v>
      </c>
      <c r="E29" s="2" t="s">
        <v>77</v>
      </c>
      <c r="F29" s="9">
        <v>120.7</v>
      </c>
    </row>
    <row r="30" spans="1:6" ht="14.4" x14ac:dyDescent="0.3">
      <c r="A30" s="2" t="s">
        <v>34</v>
      </c>
      <c r="B30" s="2">
        <v>2015</v>
      </c>
      <c r="C30" s="2" t="s">
        <v>38</v>
      </c>
      <c r="D30" s="3">
        <v>42125</v>
      </c>
      <c r="E30" s="2" t="s">
        <v>77</v>
      </c>
      <c r="F30" s="9">
        <v>121.6</v>
      </c>
    </row>
    <row r="31" spans="1:6" ht="14.4" x14ac:dyDescent="0.3">
      <c r="A31" s="2" t="s">
        <v>34</v>
      </c>
      <c r="B31" s="2">
        <v>2015</v>
      </c>
      <c r="C31" s="2" t="s">
        <v>39</v>
      </c>
      <c r="D31" s="3">
        <v>42156</v>
      </c>
      <c r="E31" s="2" t="s">
        <v>77</v>
      </c>
      <c r="F31" s="9">
        <v>123</v>
      </c>
    </row>
    <row r="32" spans="1:6" ht="14.4" x14ac:dyDescent="0.3">
      <c r="A32" s="2" t="s">
        <v>34</v>
      </c>
      <c r="B32" s="2">
        <v>2015</v>
      </c>
      <c r="C32" s="2"/>
      <c r="D32" s="3">
        <v>42186</v>
      </c>
      <c r="E32" s="2" t="s">
        <v>77</v>
      </c>
      <c r="F32" s="9">
        <v>123.6</v>
      </c>
    </row>
    <row r="33" spans="1:6" ht="14.4" x14ac:dyDescent="0.3">
      <c r="A33" s="2" t="s">
        <v>34</v>
      </c>
      <c r="B33" s="2">
        <v>2015</v>
      </c>
      <c r="C33" s="2" t="s">
        <v>41</v>
      </c>
      <c r="D33" s="3">
        <v>42217</v>
      </c>
      <c r="E33" s="2" t="s">
        <v>77</v>
      </c>
      <c r="F33" s="9">
        <v>124.8</v>
      </c>
    </row>
    <row r="34" spans="1:6" ht="14.4" x14ac:dyDescent="0.3">
      <c r="A34" s="2" t="s">
        <v>34</v>
      </c>
      <c r="B34" s="2">
        <v>2015</v>
      </c>
      <c r="C34" s="2" t="s">
        <v>42</v>
      </c>
      <c r="D34" s="3">
        <v>42248</v>
      </c>
      <c r="E34" s="2" t="s">
        <v>77</v>
      </c>
      <c r="F34" s="9">
        <v>125.4</v>
      </c>
    </row>
    <row r="35" spans="1:6" ht="14.4" x14ac:dyDescent="0.3">
      <c r="A35" s="2" t="s">
        <v>34</v>
      </c>
      <c r="B35" s="2">
        <v>2015</v>
      </c>
      <c r="C35" s="2" t="s">
        <v>43</v>
      </c>
      <c r="D35" s="3">
        <v>42278</v>
      </c>
      <c r="E35" s="2" t="s">
        <v>77</v>
      </c>
      <c r="F35" s="9">
        <v>126.1</v>
      </c>
    </row>
    <row r="36" spans="1:6" ht="14.4" x14ac:dyDescent="0.3">
      <c r="A36" s="2" t="s">
        <v>34</v>
      </c>
      <c r="B36" s="2">
        <v>2015</v>
      </c>
      <c r="C36" s="2" t="s">
        <v>44</v>
      </c>
      <c r="D36" s="3">
        <v>42309</v>
      </c>
      <c r="E36" s="2" t="s">
        <v>77</v>
      </c>
      <c r="F36" s="9">
        <v>126.6</v>
      </c>
    </row>
    <row r="37" spans="1:6" ht="14.4" x14ac:dyDescent="0.3">
      <c r="A37" s="2" t="s">
        <v>34</v>
      </c>
      <c r="B37" s="2">
        <v>2015</v>
      </c>
      <c r="C37" s="2" t="s">
        <v>45</v>
      </c>
      <c r="D37" s="3">
        <v>42339</v>
      </c>
      <c r="E37" s="2" t="s">
        <v>77</v>
      </c>
      <c r="F37" s="9">
        <v>126.1</v>
      </c>
    </row>
    <row r="38" spans="1:6" ht="14.4" x14ac:dyDescent="0.3">
      <c r="A38" s="2" t="s">
        <v>34</v>
      </c>
      <c r="B38" s="2">
        <v>2016</v>
      </c>
      <c r="C38" s="2" t="s">
        <v>31</v>
      </c>
      <c r="D38" s="3">
        <v>42370</v>
      </c>
      <c r="E38" s="2" t="s">
        <v>77</v>
      </c>
      <c r="F38" s="9">
        <v>126.3</v>
      </c>
    </row>
    <row r="39" spans="1:6" ht="14.4" x14ac:dyDescent="0.3">
      <c r="A39" s="2" t="s">
        <v>34</v>
      </c>
      <c r="B39" s="2">
        <v>2016</v>
      </c>
      <c r="C39" s="2" t="s">
        <v>35</v>
      </c>
      <c r="D39" s="3">
        <v>42401</v>
      </c>
      <c r="E39" s="2" t="s">
        <v>77</v>
      </c>
      <c r="F39" s="9">
        <v>126</v>
      </c>
    </row>
    <row r="40" spans="1:6" ht="14.4" x14ac:dyDescent="0.3">
      <c r="A40" s="2" t="s">
        <v>34</v>
      </c>
      <c r="B40" s="2">
        <v>2016</v>
      </c>
      <c r="C40" s="2" t="s">
        <v>36</v>
      </c>
      <c r="D40" s="3">
        <v>42430</v>
      </c>
      <c r="E40" s="2" t="s">
        <v>77</v>
      </c>
      <c r="F40" s="9">
        <v>126</v>
      </c>
    </row>
    <row r="41" spans="1:6" ht="14.4" x14ac:dyDescent="0.3">
      <c r="A41" s="2" t="s">
        <v>34</v>
      </c>
      <c r="B41" s="2">
        <v>2016</v>
      </c>
      <c r="C41" s="2" t="s">
        <v>37</v>
      </c>
      <c r="D41" s="3">
        <v>42461</v>
      </c>
      <c r="E41" s="2" t="s">
        <v>77</v>
      </c>
      <c r="F41" s="9">
        <v>127.3</v>
      </c>
    </row>
    <row r="42" spans="1:6" ht="14.4" x14ac:dyDescent="0.3">
      <c r="A42" s="2" t="s">
        <v>34</v>
      </c>
      <c r="B42" s="2">
        <v>2016</v>
      </c>
      <c r="C42" s="2" t="s">
        <v>38</v>
      </c>
      <c r="D42" s="3">
        <v>42491</v>
      </c>
      <c r="E42" s="2" t="s">
        <v>77</v>
      </c>
      <c r="F42" s="9">
        <v>128.6</v>
      </c>
    </row>
    <row r="43" spans="1:6" ht="14.4" x14ac:dyDescent="0.3">
      <c r="A43" s="2" t="s">
        <v>34</v>
      </c>
      <c r="B43" s="2">
        <v>2016</v>
      </c>
      <c r="C43" s="2" t="s">
        <v>39</v>
      </c>
      <c r="D43" s="3">
        <v>42522</v>
      </c>
      <c r="E43" s="2" t="s">
        <v>77</v>
      </c>
      <c r="F43" s="9">
        <v>130.1</v>
      </c>
    </row>
    <row r="44" spans="1:6" ht="14.4" x14ac:dyDescent="0.3">
      <c r="A44" s="2" t="s">
        <v>34</v>
      </c>
      <c r="B44" s="2">
        <v>2016</v>
      </c>
      <c r="C44" s="2" t="s">
        <v>40</v>
      </c>
      <c r="D44" s="3">
        <v>42552</v>
      </c>
      <c r="E44" s="2" t="s">
        <v>77</v>
      </c>
      <c r="F44" s="9">
        <v>131.1</v>
      </c>
    </row>
    <row r="45" spans="1:6" ht="14.4" x14ac:dyDescent="0.3">
      <c r="A45" s="2" t="s">
        <v>34</v>
      </c>
      <c r="B45" s="2">
        <v>2016</v>
      </c>
      <c r="C45" s="2" t="s">
        <v>41</v>
      </c>
      <c r="D45" s="3">
        <v>42583</v>
      </c>
      <c r="E45" s="2" t="s">
        <v>77</v>
      </c>
      <c r="F45" s="9">
        <v>131.1</v>
      </c>
    </row>
    <row r="46" spans="1:6" ht="14.4" x14ac:dyDescent="0.3">
      <c r="A46" s="2" t="s">
        <v>34</v>
      </c>
      <c r="B46" s="2">
        <v>2016</v>
      </c>
      <c r="C46" s="2" t="s">
        <v>42</v>
      </c>
      <c r="D46" s="3">
        <v>42614</v>
      </c>
      <c r="E46" s="2" t="s">
        <v>77</v>
      </c>
      <c r="F46" s="9">
        <v>130.9</v>
      </c>
    </row>
    <row r="47" spans="1:6" ht="14.4" x14ac:dyDescent="0.3">
      <c r="A47" s="2" t="s">
        <v>34</v>
      </c>
      <c r="B47" s="2">
        <v>2016</v>
      </c>
      <c r="C47" s="2" t="s">
        <v>43</v>
      </c>
      <c r="D47" s="3">
        <v>42644</v>
      </c>
      <c r="E47" s="2" t="s">
        <v>77</v>
      </c>
      <c r="F47" s="9">
        <v>131.4</v>
      </c>
    </row>
    <row r="48" spans="1:6" ht="14.4" x14ac:dyDescent="0.3">
      <c r="A48" s="2" t="s">
        <v>34</v>
      </c>
      <c r="B48" s="2">
        <v>2016</v>
      </c>
      <c r="C48" s="2" t="s">
        <v>44</v>
      </c>
      <c r="D48" s="3">
        <v>42675</v>
      </c>
      <c r="E48" s="2" t="s">
        <v>77</v>
      </c>
      <c r="F48" s="9">
        <v>131.19999999999999</v>
      </c>
    </row>
    <row r="49" spans="1:6" ht="14.4" x14ac:dyDescent="0.3">
      <c r="A49" s="2" t="s">
        <v>34</v>
      </c>
      <c r="B49" s="2">
        <v>2016</v>
      </c>
      <c r="C49" s="2" t="s">
        <v>45</v>
      </c>
      <c r="D49" s="3">
        <v>42705</v>
      </c>
      <c r="E49" s="2" t="s">
        <v>77</v>
      </c>
      <c r="F49" s="9">
        <v>130.4</v>
      </c>
    </row>
    <row r="50" spans="1:6" ht="14.4" x14ac:dyDescent="0.3">
      <c r="A50" s="2" t="s">
        <v>34</v>
      </c>
      <c r="B50" s="2">
        <v>2017</v>
      </c>
      <c r="C50" s="2" t="s">
        <v>31</v>
      </c>
      <c r="D50" s="3">
        <v>42736</v>
      </c>
      <c r="E50" s="2" t="s">
        <v>77</v>
      </c>
      <c r="F50" s="9">
        <v>130.30000000000001</v>
      </c>
    </row>
    <row r="51" spans="1:6" ht="14.4" x14ac:dyDescent="0.3">
      <c r="A51" s="2" t="s">
        <v>34</v>
      </c>
      <c r="B51" s="2">
        <v>2017</v>
      </c>
      <c r="C51" s="2" t="s">
        <v>35</v>
      </c>
      <c r="D51" s="3">
        <v>42767</v>
      </c>
      <c r="E51" s="2" t="s">
        <v>77</v>
      </c>
      <c r="F51" s="9">
        <v>130.6</v>
      </c>
    </row>
    <row r="52" spans="1:6" ht="14.4" x14ac:dyDescent="0.3">
      <c r="A52" s="2" t="s">
        <v>34</v>
      </c>
      <c r="B52" s="2">
        <v>2017</v>
      </c>
      <c r="C52" s="2" t="s">
        <v>36</v>
      </c>
      <c r="D52" s="3">
        <v>42795</v>
      </c>
      <c r="E52" s="2" t="s">
        <v>77</v>
      </c>
      <c r="F52" s="9">
        <v>130.9</v>
      </c>
    </row>
    <row r="53" spans="1:6" ht="14.4" x14ac:dyDescent="0.3">
      <c r="A53" s="2" t="s">
        <v>34</v>
      </c>
      <c r="B53" s="2">
        <v>2017</v>
      </c>
      <c r="C53" s="2" t="s">
        <v>37</v>
      </c>
      <c r="D53" s="3">
        <v>42826</v>
      </c>
      <c r="E53" s="2" t="s">
        <v>77</v>
      </c>
      <c r="F53" s="9">
        <v>131.1</v>
      </c>
    </row>
    <row r="54" spans="1:6" ht="14.4" x14ac:dyDescent="0.3">
      <c r="A54" s="2" t="s">
        <v>34</v>
      </c>
      <c r="B54" s="2">
        <v>2017</v>
      </c>
      <c r="C54" s="2" t="s">
        <v>38</v>
      </c>
      <c r="D54" s="3">
        <v>42856</v>
      </c>
      <c r="E54" s="2" t="s">
        <v>77</v>
      </c>
      <c r="F54" s="9">
        <v>131.4</v>
      </c>
    </row>
    <row r="55" spans="1:6" ht="14.4" x14ac:dyDescent="0.3">
      <c r="A55" s="2" t="s">
        <v>34</v>
      </c>
      <c r="B55" s="2">
        <v>2017</v>
      </c>
      <c r="C55" s="2" t="s">
        <v>39</v>
      </c>
      <c r="D55" s="3">
        <v>42887</v>
      </c>
      <c r="E55" s="2" t="s">
        <v>77</v>
      </c>
      <c r="F55" s="9">
        <v>132</v>
      </c>
    </row>
    <row r="56" spans="1:6" ht="14.4" x14ac:dyDescent="0.3">
      <c r="A56" s="2" t="s">
        <v>34</v>
      </c>
      <c r="B56" s="2">
        <v>2017</v>
      </c>
      <c r="C56" s="2" t="s">
        <v>40</v>
      </c>
      <c r="D56" s="3">
        <v>42917</v>
      </c>
      <c r="E56" s="2" t="s">
        <v>77</v>
      </c>
      <c r="F56" s="9">
        <v>134.19999999999999</v>
      </c>
    </row>
    <row r="57" spans="1:6" ht="14.4" x14ac:dyDescent="0.3">
      <c r="A57" s="2" t="s">
        <v>34</v>
      </c>
      <c r="B57" s="2">
        <v>2017</v>
      </c>
      <c r="C57" s="2" t="s">
        <v>41</v>
      </c>
      <c r="D57" s="3">
        <v>42948</v>
      </c>
      <c r="E57" s="2" t="s">
        <v>77</v>
      </c>
      <c r="F57" s="9">
        <v>135.4</v>
      </c>
    </row>
    <row r="58" spans="1:6" ht="14.4" x14ac:dyDescent="0.3">
      <c r="A58" s="2" t="s">
        <v>34</v>
      </c>
      <c r="B58" s="2">
        <v>2017</v>
      </c>
      <c r="C58" s="2" t="s">
        <v>42</v>
      </c>
      <c r="D58" s="3">
        <v>42979</v>
      </c>
      <c r="E58" s="2" t="s">
        <v>77</v>
      </c>
      <c r="F58" s="9">
        <v>135.19999999999999</v>
      </c>
    </row>
    <row r="59" spans="1:6" ht="14.4" x14ac:dyDescent="0.3">
      <c r="A59" s="2" t="s">
        <v>34</v>
      </c>
      <c r="B59" s="2">
        <v>2017</v>
      </c>
      <c r="C59" s="2" t="s">
        <v>43</v>
      </c>
      <c r="D59" s="3">
        <v>43009</v>
      </c>
      <c r="E59" s="2" t="s">
        <v>77</v>
      </c>
      <c r="F59" s="9">
        <v>136.1</v>
      </c>
    </row>
    <row r="60" spans="1:6" ht="14.4" x14ac:dyDescent="0.3">
      <c r="A60" s="2" t="s">
        <v>34</v>
      </c>
      <c r="B60" s="2">
        <v>2017</v>
      </c>
      <c r="C60" s="2" t="s">
        <v>44</v>
      </c>
      <c r="D60" s="3">
        <v>43040</v>
      </c>
      <c r="E60" s="2" t="s">
        <v>77</v>
      </c>
      <c r="F60" s="9">
        <v>137.6</v>
      </c>
    </row>
    <row r="61" spans="1:6" ht="14.4" x14ac:dyDescent="0.3">
      <c r="A61" s="2" t="s">
        <v>34</v>
      </c>
      <c r="B61" s="2">
        <v>2017</v>
      </c>
      <c r="C61" s="2" t="s">
        <v>45</v>
      </c>
      <c r="D61" s="3">
        <v>43070</v>
      </c>
      <c r="E61" s="2" t="s">
        <v>77</v>
      </c>
      <c r="F61" s="9">
        <v>137.19999999999999</v>
      </c>
    </row>
    <row r="62" spans="1:6" ht="14.4" x14ac:dyDescent="0.3">
      <c r="A62" s="2" t="s">
        <v>34</v>
      </c>
      <c r="B62" s="2">
        <v>2018</v>
      </c>
      <c r="C62" s="2" t="s">
        <v>31</v>
      </c>
      <c r="D62" s="3">
        <v>43101</v>
      </c>
      <c r="E62" s="2" t="s">
        <v>77</v>
      </c>
      <c r="F62" s="9">
        <v>136.9</v>
      </c>
    </row>
    <row r="63" spans="1:6" ht="14.4" x14ac:dyDescent="0.3">
      <c r="A63" s="2" t="s">
        <v>34</v>
      </c>
      <c r="B63" s="2">
        <v>2018</v>
      </c>
      <c r="C63" s="2" t="s">
        <v>35</v>
      </c>
      <c r="D63" s="3">
        <v>43132</v>
      </c>
      <c r="E63" s="2" t="s">
        <v>77</v>
      </c>
      <c r="F63" s="9">
        <v>136.4</v>
      </c>
    </row>
    <row r="64" spans="1:6" ht="14.4" x14ac:dyDescent="0.3">
      <c r="A64" s="2" t="s">
        <v>34</v>
      </c>
      <c r="B64" s="2">
        <v>2018</v>
      </c>
      <c r="C64" s="2" t="s">
        <v>36</v>
      </c>
      <c r="D64" s="3">
        <v>43160</v>
      </c>
      <c r="E64" s="2" t="s">
        <v>77</v>
      </c>
      <c r="F64" s="9">
        <v>136.5</v>
      </c>
    </row>
    <row r="65" spans="1:6" ht="14.4" x14ac:dyDescent="0.3">
      <c r="A65" s="2" t="s">
        <v>34</v>
      </c>
      <c r="B65" s="2">
        <v>2018</v>
      </c>
      <c r="C65" s="2" t="s">
        <v>37</v>
      </c>
      <c r="D65" s="3">
        <v>43191</v>
      </c>
      <c r="E65" s="2" t="s">
        <v>77</v>
      </c>
      <c r="F65" s="9">
        <v>137.1</v>
      </c>
    </row>
    <row r="66" spans="1:6" ht="14.4" x14ac:dyDescent="0.3">
      <c r="A66" s="2" t="s">
        <v>34</v>
      </c>
      <c r="B66" s="2">
        <v>2018</v>
      </c>
      <c r="C66" s="2" t="s">
        <v>38</v>
      </c>
      <c r="D66" s="3">
        <v>43221</v>
      </c>
      <c r="E66" s="2" t="s">
        <v>77</v>
      </c>
      <c r="F66" s="9">
        <v>137.80000000000001</v>
      </c>
    </row>
    <row r="67" spans="1:6" ht="14.4" x14ac:dyDescent="0.3">
      <c r="A67" s="2" t="s">
        <v>34</v>
      </c>
      <c r="B67" s="2">
        <v>2018</v>
      </c>
      <c r="C67" s="2" t="s">
        <v>39</v>
      </c>
      <c r="D67" s="3">
        <v>43252</v>
      </c>
      <c r="E67" s="2" t="s">
        <v>77</v>
      </c>
      <c r="F67" s="9">
        <v>138.5</v>
      </c>
    </row>
    <row r="68" spans="1:6" ht="14.4" x14ac:dyDescent="0.3">
      <c r="A68" s="2" t="s">
        <v>34</v>
      </c>
      <c r="B68" s="2">
        <v>2018</v>
      </c>
      <c r="C68" s="2" t="s">
        <v>40</v>
      </c>
      <c r="D68" s="3">
        <v>43282</v>
      </c>
      <c r="E68" s="2" t="s">
        <v>77</v>
      </c>
      <c r="F68" s="9">
        <v>139.80000000000001</v>
      </c>
    </row>
    <row r="69" spans="1:6" ht="14.4" x14ac:dyDescent="0.3">
      <c r="A69" s="2" t="s">
        <v>34</v>
      </c>
      <c r="B69" s="2">
        <v>2018</v>
      </c>
      <c r="C69" s="2" t="s">
        <v>41</v>
      </c>
      <c r="D69" s="3">
        <v>43313</v>
      </c>
      <c r="E69" s="2" t="s">
        <v>77</v>
      </c>
      <c r="F69" s="9">
        <v>140.4</v>
      </c>
    </row>
    <row r="70" spans="1:6" ht="14.4" x14ac:dyDescent="0.3">
      <c r="A70" s="2" t="s">
        <v>34</v>
      </c>
      <c r="B70" s="2">
        <v>2018</v>
      </c>
      <c r="C70" s="2" t="s">
        <v>42</v>
      </c>
      <c r="D70" s="3">
        <v>43344</v>
      </c>
      <c r="E70" s="2" t="s">
        <v>77</v>
      </c>
      <c r="F70" s="9">
        <v>140.19999999999999</v>
      </c>
    </row>
    <row r="71" spans="1:6" ht="14.4" x14ac:dyDescent="0.3">
      <c r="A71" s="2" t="s">
        <v>34</v>
      </c>
      <c r="B71" s="2">
        <v>2018</v>
      </c>
      <c r="C71" s="2" t="s">
        <v>43</v>
      </c>
      <c r="D71" s="3">
        <v>43374</v>
      </c>
      <c r="E71" s="2" t="s">
        <v>77</v>
      </c>
      <c r="F71" s="9">
        <v>140.80000000000001</v>
      </c>
    </row>
    <row r="72" spans="1:6" ht="14.4" x14ac:dyDescent="0.3">
      <c r="A72" s="2" t="s">
        <v>34</v>
      </c>
      <c r="B72" s="2">
        <v>2018</v>
      </c>
      <c r="C72" s="2" t="s">
        <v>44</v>
      </c>
      <c r="D72" s="3">
        <v>43405</v>
      </c>
      <c r="E72" s="2" t="s">
        <v>77</v>
      </c>
      <c r="F72" s="9">
        <v>140.80000000000001</v>
      </c>
    </row>
    <row r="73" spans="1:6" ht="14.4" x14ac:dyDescent="0.3">
      <c r="A73" s="2" t="s">
        <v>34</v>
      </c>
      <c r="B73" s="2">
        <v>2018</v>
      </c>
      <c r="C73" s="2" t="s">
        <v>45</v>
      </c>
      <c r="D73" s="3">
        <v>43435</v>
      </c>
      <c r="E73" s="2" t="s">
        <v>77</v>
      </c>
      <c r="F73" s="9">
        <v>140.1</v>
      </c>
    </row>
    <row r="74" spans="1:6" ht="14.4" x14ac:dyDescent="0.3">
      <c r="A74" s="2" t="s">
        <v>34</v>
      </c>
      <c r="B74" s="2">
        <v>2019</v>
      </c>
      <c r="C74" s="2" t="s">
        <v>31</v>
      </c>
      <c r="D74" s="3">
        <v>43466</v>
      </c>
      <c r="E74" s="2" t="s">
        <v>77</v>
      </c>
      <c r="F74" s="9">
        <v>139.6</v>
      </c>
    </row>
    <row r="75" spans="1:6" ht="14.4" x14ac:dyDescent="0.3">
      <c r="A75" s="2" t="s">
        <v>34</v>
      </c>
      <c r="B75" s="2">
        <v>2019</v>
      </c>
      <c r="C75" s="2" t="s">
        <v>35</v>
      </c>
      <c r="D75" s="3">
        <v>43497</v>
      </c>
      <c r="E75" s="2" t="s">
        <v>77</v>
      </c>
      <c r="F75" s="9">
        <v>139.9</v>
      </c>
    </row>
    <row r="76" spans="1:6" ht="14.4" x14ac:dyDescent="0.3">
      <c r="A76" s="2" t="s">
        <v>34</v>
      </c>
      <c r="B76" s="2">
        <v>2019</v>
      </c>
      <c r="C76" s="2" t="s">
        <v>36</v>
      </c>
      <c r="D76" s="3">
        <v>43525</v>
      </c>
      <c r="E76" s="2" t="s">
        <v>77</v>
      </c>
      <c r="F76" s="9">
        <v>140.4</v>
      </c>
    </row>
    <row r="77" spans="1:6" ht="14.4" x14ac:dyDescent="0.3">
      <c r="A77" s="2" t="s">
        <v>34</v>
      </c>
      <c r="B77" s="2">
        <v>2019</v>
      </c>
      <c r="C77" s="2" t="s">
        <v>38</v>
      </c>
      <c r="D77" s="3">
        <v>43586</v>
      </c>
      <c r="E77" s="2" t="s">
        <v>77</v>
      </c>
      <c r="F77" s="9">
        <v>142</v>
      </c>
    </row>
    <row r="78" spans="1:6" ht="14.4" x14ac:dyDescent="0.3">
      <c r="A78" s="2" t="s">
        <v>34</v>
      </c>
      <c r="B78" s="2">
        <v>2019</v>
      </c>
      <c r="C78" s="2" t="s">
        <v>39</v>
      </c>
      <c r="D78" s="3">
        <v>43617</v>
      </c>
      <c r="E78" s="2" t="s">
        <v>77</v>
      </c>
      <c r="F78" s="9">
        <v>142.9</v>
      </c>
    </row>
    <row r="79" spans="1:6" ht="14.4" x14ac:dyDescent="0.3">
      <c r="A79" s="2" t="s">
        <v>34</v>
      </c>
      <c r="B79" s="2">
        <v>2019</v>
      </c>
      <c r="C79" s="2" t="s">
        <v>40</v>
      </c>
      <c r="D79" s="3">
        <v>43647</v>
      </c>
      <c r="E79" s="2" t="s">
        <v>77</v>
      </c>
      <c r="F79" s="9">
        <v>144.19999999999999</v>
      </c>
    </row>
    <row r="80" spans="1:6" ht="14.4" x14ac:dyDescent="0.3">
      <c r="A80" s="2" t="s">
        <v>34</v>
      </c>
      <c r="B80" s="2">
        <v>2019</v>
      </c>
      <c r="C80" s="2" t="s">
        <v>41</v>
      </c>
      <c r="D80" s="3">
        <v>43678</v>
      </c>
      <c r="E80" s="2" t="s">
        <v>77</v>
      </c>
      <c r="F80" s="9">
        <v>145</v>
      </c>
    </row>
    <row r="81" spans="1:6" ht="14.4" x14ac:dyDescent="0.3">
      <c r="A81" s="2" t="s">
        <v>34</v>
      </c>
      <c r="B81" s="2">
        <v>2019</v>
      </c>
      <c r="C81" s="2" t="s">
        <v>42</v>
      </c>
      <c r="D81" s="3">
        <v>43709</v>
      </c>
      <c r="E81" s="2" t="s">
        <v>77</v>
      </c>
      <c r="F81" s="9">
        <v>145.80000000000001</v>
      </c>
    </row>
    <row r="82" spans="1:6" ht="14.4" x14ac:dyDescent="0.3">
      <c r="A82" s="2" t="s">
        <v>34</v>
      </c>
      <c r="B82" s="2">
        <v>2019</v>
      </c>
      <c r="C82" s="2" t="s">
        <v>43</v>
      </c>
      <c r="D82" s="3">
        <v>43739</v>
      </c>
      <c r="E82" s="2" t="s">
        <v>77</v>
      </c>
      <c r="F82" s="9">
        <v>147.19999999999999</v>
      </c>
    </row>
    <row r="83" spans="1:6" ht="14.4" x14ac:dyDescent="0.3">
      <c r="A83" s="2" t="s">
        <v>34</v>
      </c>
      <c r="B83" s="2">
        <v>2019</v>
      </c>
      <c r="C83" s="2" t="s">
        <v>44</v>
      </c>
      <c r="D83" s="3">
        <v>43770</v>
      </c>
      <c r="E83" s="2" t="s">
        <v>77</v>
      </c>
      <c r="F83" s="9">
        <v>148.6</v>
      </c>
    </row>
    <row r="84" spans="1:6" ht="14.4" x14ac:dyDescent="0.3">
      <c r="A84" s="2" t="s">
        <v>34</v>
      </c>
      <c r="B84" s="2">
        <v>2019</v>
      </c>
      <c r="C84" s="2" t="s">
        <v>45</v>
      </c>
      <c r="D84" s="3">
        <v>43800</v>
      </c>
      <c r="E84" s="2" t="s">
        <v>77</v>
      </c>
      <c r="F84" s="9">
        <v>150.4</v>
      </c>
    </row>
    <row r="85" spans="1:6" ht="14.4" x14ac:dyDescent="0.3">
      <c r="A85" s="2" t="s">
        <v>34</v>
      </c>
      <c r="B85" s="2">
        <v>2020</v>
      </c>
      <c r="C85" s="2" t="s">
        <v>31</v>
      </c>
      <c r="D85" s="3">
        <v>43831</v>
      </c>
      <c r="E85" s="2" t="s">
        <v>77</v>
      </c>
      <c r="F85" s="9">
        <v>150.19999999999999</v>
      </c>
    </row>
    <row r="86" spans="1:6" ht="14.4" x14ac:dyDescent="0.3">
      <c r="A86" s="2" t="s">
        <v>34</v>
      </c>
      <c r="B86" s="2">
        <v>2020</v>
      </c>
      <c r="C86" s="2" t="s">
        <v>35</v>
      </c>
      <c r="D86" s="3">
        <v>43862</v>
      </c>
      <c r="E86" s="2" t="s">
        <v>77</v>
      </c>
      <c r="F86" s="9">
        <v>149.1</v>
      </c>
    </row>
    <row r="87" spans="1:6" ht="14.4" x14ac:dyDescent="0.3">
      <c r="A87" s="2" t="s">
        <v>34</v>
      </c>
      <c r="B87" s="2">
        <v>2020</v>
      </c>
      <c r="C87" s="2" t="s">
        <v>36</v>
      </c>
      <c r="D87" s="3">
        <v>43891</v>
      </c>
      <c r="E87" s="2" t="s">
        <v>77</v>
      </c>
      <c r="F87" s="9">
        <v>148.6</v>
      </c>
    </row>
    <row r="88" spans="1:6" ht="14.4" x14ac:dyDescent="0.3">
      <c r="A88" s="2" t="s">
        <v>34</v>
      </c>
      <c r="B88" s="2">
        <v>2020</v>
      </c>
      <c r="C88" s="2" t="s">
        <v>37</v>
      </c>
      <c r="D88" s="3">
        <v>43922</v>
      </c>
      <c r="E88" s="2" t="s">
        <v>78</v>
      </c>
      <c r="F88" s="9">
        <v>139.6295081967213</v>
      </c>
    </row>
    <row r="89" spans="1:6" ht="14.4" x14ac:dyDescent="0.3">
      <c r="A89" s="2" t="s">
        <v>34</v>
      </c>
      <c r="B89" s="2">
        <v>2020</v>
      </c>
      <c r="C89" s="2" t="s">
        <v>38</v>
      </c>
      <c r="D89" s="3">
        <v>43952</v>
      </c>
      <c r="E89" s="2" t="s">
        <v>78</v>
      </c>
      <c r="F89" s="9">
        <v>139.6295081967213</v>
      </c>
    </row>
    <row r="90" spans="1:6" ht="14.4" x14ac:dyDescent="0.3">
      <c r="A90" s="2" t="s">
        <v>34</v>
      </c>
      <c r="B90" s="2">
        <v>2020</v>
      </c>
      <c r="C90" s="2" t="s">
        <v>39</v>
      </c>
      <c r="D90" s="3">
        <v>43983</v>
      </c>
      <c r="E90" s="2" t="s">
        <v>78</v>
      </c>
      <c r="F90" s="9">
        <v>151.80000000000001</v>
      </c>
    </row>
    <row r="91" spans="1:6" ht="14.4" x14ac:dyDescent="0.3">
      <c r="A91" s="2" t="s">
        <v>34</v>
      </c>
      <c r="B91" s="2">
        <v>2020</v>
      </c>
      <c r="C91" s="2" t="s">
        <v>40</v>
      </c>
      <c r="D91" s="3">
        <v>44013</v>
      </c>
      <c r="E91" s="2" t="s">
        <v>78</v>
      </c>
      <c r="F91" s="9">
        <v>151.80000000000001</v>
      </c>
    </row>
    <row r="92" spans="1:6" ht="14.4" x14ac:dyDescent="0.3">
      <c r="A92" s="2" t="s">
        <v>34</v>
      </c>
      <c r="B92" s="2">
        <v>2020</v>
      </c>
      <c r="C92" s="2" t="s">
        <v>41</v>
      </c>
      <c r="D92" s="3">
        <v>44044</v>
      </c>
      <c r="E92" s="2" t="s">
        <v>78</v>
      </c>
      <c r="F92" s="9">
        <v>153.9</v>
      </c>
    </row>
    <row r="93" spans="1:6" ht="14.4" x14ac:dyDescent="0.3">
      <c r="A93" s="2" t="s">
        <v>34</v>
      </c>
      <c r="B93" s="2">
        <v>2020</v>
      </c>
      <c r="C93" s="2" t="s">
        <v>42</v>
      </c>
      <c r="D93" s="3">
        <v>44075</v>
      </c>
      <c r="E93" s="2" t="s">
        <v>78</v>
      </c>
      <c r="F93" s="9">
        <v>154.69999999999999</v>
      </c>
    </row>
    <row r="94" spans="1:6" ht="14.4" x14ac:dyDescent="0.3">
      <c r="A94" s="2" t="s">
        <v>34</v>
      </c>
      <c r="B94" s="2">
        <v>2020</v>
      </c>
      <c r="C94" s="2" t="s">
        <v>43</v>
      </c>
      <c r="D94" s="3">
        <v>44105</v>
      </c>
      <c r="E94" s="2" t="s">
        <v>78</v>
      </c>
      <c r="F94" s="9">
        <v>156.4</v>
      </c>
    </row>
    <row r="95" spans="1:6" ht="14.4" x14ac:dyDescent="0.3">
      <c r="A95" s="2" t="s">
        <v>34</v>
      </c>
      <c r="B95" s="2">
        <v>2020</v>
      </c>
      <c r="C95" s="2" t="s">
        <v>44</v>
      </c>
      <c r="D95" s="3">
        <v>44136</v>
      </c>
      <c r="E95" s="2" t="s">
        <v>78</v>
      </c>
      <c r="F95" s="9">
        <v>158.4</v>
      </c>
    </row>
    <row r="96" spans="1:6" ht="14.4" x14ac:dyDescent="0.3">
      <c r="A96" s="2" t="s">
        <v>34</v>
      </c>
      <c r="B96" s="2">
        <v>2020</v>
      </c>
      <c r="C96" s="2" t="s">
        <v>45</v>
      </c>
      <c r="D96" s="3">
        <v>44166</v>
      </c>
      <c r="E96" s="2" t="s">
        <v>78</v>
      </c>
      <c r="F96" s="9">
        <v>158.9</v>
      </c>
    </row>
    <row r="97" spans="1:6" ht="14.4" x14ac:dyDescent="0.3">
      <c r="A97" s="2" t="s">
        <v>34</v>
      </c>
      <c r="B97" s="2">
        <v>2021</v>
      </c>
      <c r="C97" s="2" t="s">
        <v>31</v>
      </c>
      <c r="D97" s="3">
        <v>44197</v>
      </c>
      <c r="E97" s="2" t="s">
        <v>78</v>
      </c>
      <c r="F97" s="9">
        <v>157.30000000000001</v>
      </c>
    </row>
    <row r="98" spans="1:6" ht="14.4" x14ac:dyDescent="0.3">
      <c r="A98" s="2" t="s">
        <v>34</v>
      </c>
      <c r="B98" s="2">
        <v>2021</v>
      </c>
      <c r="C98" s="2" t="s">
        <v>35</v>
      </c>
      <c r="D98" s="3">
        <v>44228</v>
      </c>
      <c r="E98" s="2" t="s">
        <v>78</v>
      </c>
      <c r="F98" s="9">
        <v>156.6</v>
      </c>
    </row>
    <row r="99" spans="1:6" ht="14.4" x14ac:dyDescent="0.3">
      <c r="A99" s="2" t="s">
        <v>34</v>
      </c>
      <c r="B99" s="2">
        <v>2021</v>
      </c>
      <c r="C99" s="2" t="s">
        <v>36</v>
      </c>
      <c r="D99" s="3">
        <v>44256</v>
      </c>
      <c r="E99" s="2" t="s">
        <v>78</v>
      </c>
      <c r="F99" s="9">
        <v>156.80000000000001</v>
      </c>
    </row>
    <row r="100" spans="1:6" ht="14.4" x14ac:dyDescent="0.3">
      <c r="A100" s="2" t="s">
        <v>34</v>
      </c>
      <c r="B100" s="2">
        <v>2021</v>
      </c>
      <c r="C100" s="2" t="s">
        <v>37</v>
      </c>
      <c r="D100" s="3">
        <v>44287</v>
      </c>
      <c r="E100" s="2" t="s">
        <v>78</v>
      </c>
      <c r="F100" s="9">
        <v>157.80000000000001</v>
      </c>
    </row>
    <row r="101" spans="1:6" ht="14.4" x14ac:dyDescent="0.3">
      <c r="A101" s="2" t="s">
        <v>34</v>
      </c>
      <c r="B101" s="2">
        <v>2021</v>
      </c>
      <c r="C101" s="2" t="s">
        <v>38</v>
      </c>
      <c r="D101" s="3">
        <v>44317</v>
      </c>
      <c r="E101" s="2" t="s">
        <v>78</v>
      </c>
      <c r="F101" s="9">
        <v>160.4</v>
      </c>
    </row>
    <row r="102" spans="1:6" ht="14.4" x14ac:dyDescent="0.3">
      <c r="A102" s="2" t="s">
        <v>34</v>
      </c>
      <c r="B102" s="2">
        <v>2021</v>
      </c>
      <c r="C102" s="2" t="s">
        <v>39</v>
      </c>
      <c r="D102" s="3">
        <v>44348</v>
      </c>
      <c r="E102" s="2" t="s">
        <v>78</v>
      </c>
      <c r="F102" s="9">
        <v>161.30000000000001</v>
      </c>
    </row>
    <row r="103" spans="1:6" ht="14.4" x14ac:dyDescent="0.3">
      <c r="A103" s="2" t="s">
        <v>34</v>
      </c>
      <c r="B103" s="2">
        <v>2021</v>
      </c>
      <c r="C103" s="2" t="s">
        <v>40</v>
      </c>
      <c r="D103" s="3">
        <v>44378</v>
      </c>
      <c r="E103" s="2" t="s">
        <v>78</v>
      </c>
      <c r="F103" s="9">
        <v>162.5</v>
      </c>
    </row>
    <row r="104" spans="1:6" ht="14.4" x14ac:dyDescent="0.3">
      <c r="A104" s="2" t="s">
        <v>34</v>
      </c>
      <c r="B104" s="2">
        <v>2021</v>
      </c>
      <c r="C104" s="2" t="s">
        <v>41</v>
      </c>
      <c r="D104" s="3">
        <v>44409</v>
      </c>
      <c r="E104" s="2" t="s">
        <v>78</v>
      </c>
      <c r="F104" s="9">
        <v>163.19999999999999</v>
      </c>
    </row>
    <row r="105" spans="1:6" ht="14.4" x14ac:dyDescent="0.3">
      <c r="A105" s="2" t="s">
        <v>34</v>
      </c>
      <c r="B105" s="2">
        <v>2021</v>
      </c>
      <c r="C105" s="2" t="s">
        <v>42</v>
      </c>
      <c r="D105" s="3">
        <v>44440</v>
      </c>
      <c r="E105" s="2" t="s">
        <v>78</v>
      </c>
      <c r="F105" s="9">
        <v>163.19999999999999</v>
      </c>
    </row>
    <row r="106" spans="1:6" ht="14.4" x14ac:dyDescent="0.3">
      <c r="A106" s="2" t="s">
        <v>34</v>
      </c>
      <c r="B106" s="2">
        <v>2021</v>
      </c>
      <c r="C106" s="2" t="s">
        <v>43</v>
      </c>
      <c r="D106" s="3">
        <v>44470</v>
      </c>
      <c r="E106" s="2" t="s">
        <v>78</v>
      </c>
      <c r="F106" s="9">
        <v>165.5</v>
      </c>
    </row>
    <row r="107" spans="1:6" ht="14.4" x14ac:dyDescent="0.3">
      <c r="A107" s="2" t="s">
        <v>34</v>
      </c>
      <c r="B107" s="2">
        <v>2021</v>
      </c>
      <c r="C107" s="2" t="s">
        <v>44</v>
      </c>
      <c r="D107" s="3">
        <v>44501</v>
      </c>
      <c r="E107" s="2" t="s">
        <v>78</v>
      </c>
      <c r="F107" s="9">
        <v>166.7</v>
      </c>
    </row>
    <row r="108" spans="1:6" ht="14.4" x14ac:dyDescent="0.3">
      <c r="A108" s="2" t="s">
        <v>34</v>
      </c>
      <c r="B108" s="2">
        <v>2021</v>
      </c>
      <c r="C108" s="2" t="s">
        <v>45</v>
      </c>
      <c r="D108" s="3">
        <v>44531</v>
      </c>
      <c r="E108" s="2" t="s">
        <v>78</v>
      </c>
      <c r="F108" s="9">
        <v>166.2</v>
      </c>
    </row>
    <row r="109" spans="1:6" ht="14.4" x14ac:dyDescent="0.3">
      <c r="A109" s="2" t="s">
        <v>34</v>
      </c>
      <c r="B109" s="2">
        <v>2022</v>
      </c>
      <c r="C109" s="2" t="s">
        <v>31</v>
      </c>
      <c r="D109" s="3">
        <v>44562</v>
      </c>
      <c r="E109" s="2" t="s">
        <v>78</v>
      </c>
      <c r="F109" s="9">
        <v>165.7</v>
      </c>
    </row>
    <row r="110" spans="1:6" ht="14.4" x14ac:dyDescent="0.3">
      <c r="A110" s="2" t="s">
        <v>34</v>
      </c>
      <c r="B110" s="2">
        <v>2022</v>
      </c>
      <c r="C110" s="2" t="s">
        <v>35</v>
      </c>
      <c r="D110" s="3">
        <v>44593</v>
      </c>
      <c r="E110" s="2" t="s">
        <v>78</v>
      </c>
      <c r="F110" s="9">
        <v>166.1</v>
      </c>
    </row>
    <row r="111" spans="1:6" ht="14.4" x14ac:dyDescent="0.3">
      <c r="A111" s="2" t="s">
        <v>34</v>
      </c>
      <c r="B111" s="2">
        <v>2022</v>
      </c>
      <c r="C111" s="2" t="s">
        <v>36</v>
      </c>
      <c r="D111" s="3">
        <v>44621</v>
      </c>
      <c r="E111" s="2" t="s">
        <v>78</v>
      </c>
      <c r="F111" s="9">
        <v>167.7</v>
      </c>
    </row>
    <row r="112" spans="1:6" ht="14.4" x14ac:dyDescent="0.3">
      <c r="A112" s="2" t="s">
        <v>34</v>
      </c>
      <c r="B112" s="2">
        <v>2022</v>
      </c>
      <c r="C112" s="2" t="s">
        <v>37</v>
      </c>
      <c r="D112" s="3">
        <v>44652</v>
      </c>
      <c r="E112" s="2" t="s">
        <v>78</v>
      </c>
      <c r="F112" s="9">
        <v>170.1</v>
      </c>
    </row>
    <row r="113" spans="1:6" ht="14.4" x14ac:dyDescent="0.3">
      <c r="A113" s="2" t="s">
        <v>34</v>
      </c>
      <c r="B113" s="2">
        <v>2022</v>
      </c>
      <c r="C113" s="2" t="s">
        <v>38</v>
      </c>
      <c r="D113" s="3">
        <v>44682</v>
      </c>
      <c r="E113" s="2" t="s">
        <v>78</v>
      </c>
      <c r="F113" s="9">
        <v>171.7</v>
      </c>
    </row>
    <row r="114" spans="1:6" ht="14.4" x14ac:dyDescent="0.3">
      <c r="A114" s="2" t="s">
        <v>34</v>
      </c>
      <c r="B114" s="2">
        <v>2022</v>
      </c>
      <c r="C114" s="2" t="s">
        <v>39</v>
      </c>
      <c r="D114" s="3">
        <v>44713</v>
      </c>
      <c r="E114" s="2" t="s">
        <v>78</v>
      </c>
      <c r="F114" s="9">
        <v>172.6</v>
      </c>
    </row>
    <row r="115" spans="1:6" ht="14.4" x14ac:dyDescent="0.3">
      <c r="A115" s="2" t="s">
        <v>34</v>
      </c>
      <c r="B115" s="2">
        <v>2022</v>
      </c>
      <c r="C115" s="2" t="s">
        <v>40</v>
      </c>
      <c r="D115" s="3">
        <v>44743</v>
      </c>
      <c r="E115" s="2" t="s">
        <v>78</v>
      </c>
      <c r="F115" s="9">
        <v>173.4</v>
      </c>
    </row>
    <row r="116" spans="1:6" ht="14.4" x14ac:dyDescent="0.3">
      <c r="A116" s="2" t="s">
        <v>34</v>
      </c>
      <c r="B116" s="2">
        <v>2022</v>
      </c>
      <c r="C116" s="2" t="s">
        <v>41</v>
      </c>
      <c r="D116" s="3">
        <v>44774</v>
      </c>
      <c r="E116" s="2" t="s">
        <v>78</v>
      </c>
      <c r="F116" s="9">
        <v>174.3</v>
      </c>
    </row>
    <row r="117" spans="1:6" ht="14.4" x14ac:dyDescent="0.3">
      <c r="A117" s="2" t="s">
        <v>34</v>
      </c>
      <c r="B117" s="2">
        <v>2022</v>
      </c>
      <c r="C117" s="2" t="s">
        <v>42</v>
      </c>
      <c r="D117" s="3">
        <v>44805</v>
      </c>
      <c r="E117" s="2" t="s">
        <v>78</v>
      </c>
      <c r="F117" s="9">
        <v>175.3</v>
      </c>
    </row>
    <row r="118" spans="1:6" ht="14.4" x14ac:dyDescent="0.3">
      <c r="A118" s="2" t="s">
        <v>34</v>
      </c>
      <c r="B118" s="2">
        <v>2022</v>
      </c>
      <c r="C118" s="2" t="s">
        <v>43</v>
      </c>
      <c r="D118" s="3">
        <v>44835</v>
      </c>
      <c r="E118" s="2" t="s">
        <v>78</v>
      </c>
      <c r="F118" s="9">
        <v>176.7</v>
      </c>
    </row>
    <row r="119" spans="1:6" ht="14.4" x14ac:dyDescent="0.3">
      <c r="A119" s="2" t="s">
        <v>34</v>
      </c>
      <c r="B119" s="2">
        <v>2022</v>
      </c>
      <c r="C119" s="2" t="s">
        <v>44</v>
      </c>
      <c r="D119" s="3">
        <v>44866</v>
      </c>
      <c r="E119" s="2" t="s">
        <v>78</v>
      </c>
      <c r="F119" s="9">
        <v>176.5</v>
      </c>
    </row>
    <row r="120" spans="1:6" ht="14.4" x14ac:dyDescent="0.3">
      <c r="A120" s="2" t="s">
        <v>34</v>
      </c>
      <c r="B120" s="2">
        <v>2022</v>
      </c>
      <c r="C120" s="2" t="s">
        <v>45</v>
      </c>
      <c r="D120" s="3">
        <v>44896</v>
      </c>
      <c r="E120" s="2" t="s">
        <v>78</v>
      </c>
      <c r="F120" s="9">
        <v>175.7</v>
      </c>
    </row>
    <row r="121" spans="1:6" ht="14.4" x14ac:dyDescent="0.3">
      <c r="A121" s="2" t="s">
        <v>34</v>
      </c>
      <c r="B121" s="2">
        <v>2023</v>
      </c>
      <c r="C121" s="2" t="s">
        <v>31</v>
      </c>
      <c r="D121" s="3">
        <v>44927</v>
      </c>
      <c r="E121" s="2" t="s">
        <v>78</v>
      </c>
      <c r="F121" s="9">
        <v>176.5</v>
      </c>
    </row>
    <row r="122" spans="1:6" ht="14.4" x14ac:dyDescent="0.3">
      <c r="A122" s="2" t="s">
        <v>34</v>
      </c>
      <c r="B122" s="2">
        <v>2023</v>
      </c>
      <c r="C122" s="2" t="s">
        <v>35</v>
      </c>
      <c r="D122" s="3">
        <v>44958</v>
      </c>
      <c r="E122" s="2" t="s">
        <v>78</v>
      </c>
      <c r="F122" s="9">
        <v>177.2</v>
      </c>
    </row>
    <row r="123" spans="1:6" ht="14.4" x14ac:dyDescent="0.3">
      <c r="A123" s="2" t="s">
        <v>34</v>
      </c>
      <c r="B123" s="2">
        <v>2023</v>
      </c>
      <c r="C123" s="2" t="s">
        <v>36</v>
      </c>
      <c r="D123" s="3">
        <v>44986</v>
      </c>
      <c r="E123" s="2" t="s">
        <v>78</v>
      </c>
      <c r="F123" s="9">
        <v>177.2</v>
      </c>
    </row>
    <row r="124" spans="1:6" ht="14.4" x14ac:dyDescent="0.3">
      <c r="A124" s="2" t="s">
        <v>34</v>
      </c>
      <c r="B124" s="2">
        <v>2023</v>
      </c>
      <c r="C124" s="2" t="s">
        <v>37</v>
      </c>
      <c r="D124" s="3">
        <v>45017</v>
      </c>
      <c r="E124" s="2" t="s">
        <v>78</v>
      </c>
      <c r="F124" s="9">
        <v>178.1</v>
      </c>
    </row>
    <row r="125" spans="1:6" ht="14.4" x14ac:dyDescent="0.3">
      <c r="A125" s="2" t="s">
        <v>34</v>
      </c>
      <c r="B125" s="2">
        <v>2023</v>
      </c>
      <c r="C125" s="2" t="s">
        <v>38</v>
      </c>
      <c r="D125" s="3">
        <v>45047</v>
      </c>
      <c r="E125" s="2" t="s">
        <v>78</v>
      </c>
      <c r="F125" s="9">
        <v>179.1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A124-90AD-45B0-9ED1-AB54737D8531}">
  <dimension ref="A1:M122"/>
  <sheetViews>
    <sheetView topLeftCell="G1" zoomScale="80" zoomScaleNormal="80" workbookViewId="0">
      <selection activeCell="C23" sqref="C23"/>
    </sheetView>
  </sheetViews>
  <sheetFormatPr defaultRowHeight="13.8" x14ac:dyDescent="0.25"/>
  <cols>
    <col min="1" max="1" width="13.33203125" bestFit="1" customWidth="1"/>
    <col min="2" max="2" width="19.109375" customWidth="1"/>
    <col min="3" max="3" width="9.44140625" bestFit="1" customWidth="1"/>
    <col min="4" max="4" width="7" bestFit="1" customWidth="1"/>
    <col min="5" max="5" width="10.88671875" bestFit="1" customWidth="1"/>
    <col min="6" max="6" width="19.88671875" bestFit="1" customWidth="1"/>
    <col min="7" max="7" width="16.5546875" bestFit="1" customWidth="1"/>
  </cols>
  <sheetData>
    <row r="1" spans="1:10" ht="21" x14ac:dyDescent="0.4">
      <c r="A1" s="34" t="s">
        <v>85</v>
      </c>
    </row>
    <row r="3" spans="1:10" ht="15.6" x14ac:dyDescent="0.3">
      <c r="A3" s="1" t="s">
        <v>0</v>
      </c>
      <c r="B3" s="1" t="s">
        <v>1</v>
      </c>
      <c r="C3" s="1" t="s">
        <v>2</v>
      </c>
      <c r="D3" s="1" t="s">
        <v>48</v>
      </c>
      <c r="E3" s="1" t="s">
        <v>49</v>
      </c>
      <c r="F3" s="7" t="s">
        <v>15</v>
      </c>
      <c r="G3" s="1" t="s">
        <v>80</v>
      </c>
      <c r="J3" s="16" t="s">
        <v>67</v>
      </c>
    </row>
    <row r="4" spans="1:10" ht="14.4" x14ac:dyDescent="0.3">
      <c r="A4" s="2" t="s">
        <v>34</v>
      </c>
      <c r="B4" s="2">
        <v>2022</v>
      </c>
      <c r="C4" s="2" t="s">
        <v>39</v>
      </c>
      <c r="D4" s="3">
        <v>44713</v>
      </c>
      <c r="E4" s="2" t="str">
        <f t="shared" ref="E4:E15" si="0">IF(D4&lt;DATE(2020,3,1),"Pre-Covid","Post-Covid")</f>
        <v>Post-Covid</v>
      </c>
      <c r="F4" s="9">
        <v>174.9</v>
      </c>
      <c r="G4" s="6"/>
    </row>
    <row r="5" spans="1:10" ht="14.4" x14ac:dyDescent="0.3">
      <c r="A5" s="2" t="s">
        <v>34</v>
      </c>
      <c r="B5" s="2">
        <v>2022</v>
      </c>
      <c r="C5" s="2" t="s">
        <v>40</v>
      </c>
      <c r="D5" s="3">
        <v>44743</v>
      </c>
      <c r="E5" s="2" t="str">
        <f t="shared" si="0"/>
        <v>Post-Covid</v>
      </c>
      <c r="F5" s="9">
        <v>175</v>
      </c>
      <c r="G5" s="19">
        <f>(F5-F4)/F4</f>
        <v>5.7175528873638828E-4</v>
      </c>
      <c r="J5" s="44" t="s">
        <v>81</v>
      </c>
    </row>
    <row r="6" spans="1:10" ht="14.4" x14ac:dyDescent="0.3">
      <c r="A6" s="2" t="s">
        <v>34</v>
      </c>
      <c r="B6" s="2">
        <v>2022</v>
      </c>
      <c r="C6" s="2" t="s">
        <v>41</v>
      </c>
      <c r="D6" s="3">
        <v>44774</v>
      </c>
      <c r="E6" s="2" t="str">
        <f t="shared" si="0"/>
        <v>Post-Covid</v>
      </c>
      <c r="F6" s="9">
        <v>176.3</v>
      </c>
      <c r="G6" s="19">
        <f t="shared" ref="G6:G15" si="1">(F6-F5)/F5</f>
        <v>7.4285714285714935E-3</v>
      </c>
      <c r="J6" s="45" t="s">
        <v>82</v>
      </c>
    </row>
    <row r="7" spans="1:10" ht="14.4" x14ac:dyDescent="0.3">
      <c r="A7" s="2" t="s">
        <v>34</v>
      </c>
      <c r="B7" s="2">
        <v>2022</v>
      </c>
      <c r="C7" s="2" t="s">
        <v>42</v>
      </c>
      <c r="D7" s="3">
        <v>44805</v>
      </c>
      <c r="E7" s="2" t="str">
        <f t="shared" si="0"/>
        <v>Post-Covid</v>
      </c>
      <c r="F7" s="9">
        <v>177.8</v>
      </c>
      <c r="G7" s="19">
        <f t="shared" si="1"/>
        <v>8.5082246171298923E-3</v>
      </c>
    </row>
    <row r="8" spans="1:10" ht="14.4" x14ac:dyDescent="0.3">
      <c r="A8" s="35" t="s">
        <v>34</v>
      </c>
      <c r="B8" s="35">
        <v>2022</v>
      </c>
      <c r="C8" s="35" t="s">
        <v>43</v>
      </c>
      <c r="D8" s="36">
        <v>44835</v>
      </c>
      <c r="E8" s="35" t="str">
        <f t="shared" si="0"/>
        <v>Post-Covid</v>
      </c>
      <c r="F8" s="37">
        <v>179.6</v>
      </c>
      <c r="G8" s="38">
        <f t="shared" si="1"/>
        <v>1.0123734533183255E-2</v>
      </c>
      <c r="J8" s="44" t="s">
        <v>83</v>
      </c>
    </row>
    <row r="9" spans="1:10" ht="14.4" x14ac:dyDescent="0.3">
      <c r="A9" s="2" t="s">
        <v>34</v>
      </c>
      <c r="B9" s="2">
        <v>2022</v>
      </c>
      <c r="C9" s="2" t="s">
        <v>44</v>
      </c>
      <c r="D9" s="3">
        <v>44866</v>
      </c>
      <c r="E9" s="2" t="str">
        <f t="shared" si="0"/>
        <v>Post-Covid</v>
      </c>
      <c r="F9" s="9">
        <v>178.3</v>
      </c>
      <c r="G9" s="19">
        <f t="shared" si="1"/>
        <v>-7.2383073496658295E-3</v>
      </c>
      <c r="J9" s="45" t="s">
        <v>84</v>
      </c>
    </row>
    <row r="10" spans="1:10" ht="14.4" x14ac:dyDescent="0.3">
      <c r="A10" s="39" t="s">
        <v>34</v>
      </c>
      <c r="B10" s="39">
        <v>2022</v>
      </c>
      <c r="C10" s="39" t="s">
        <v>45</v>
      </c>
      <c r="D10" s="40">
        <v>44896</v>
      </c>
      <c r="E10" s="39" t="str">
        <f t="shared" si="0"/>
        <v>Post-Covid</v>
      </c>
      <c r="F10" s="41">
        <v>175.9</v>
      </c>
      <c r="G10" s="42">
        <f t="shared" si="1"/>
        <v>-1.3460459899046581E-2</v>
      </c>
    </row>
    <row r="11" spans="1:10" ht="14.4" x14ac:dyDescent="0.3">
      <c r="A11" s="2" t="s">
        <v>34</v>
      </c>
      <c r="B11" s="2">
        <v>2023</v>
      </c>
      <c r="C11" s="2" t="s">
        <v>31</v>
      </c>
      <c r="D11" s="3">
        <v>44927</v>
      </c>
      <c r="E11" s="2" t="str">
        <f t="shared" si="0"/>
        <v>Post-Covid</v>
      </c>
      <c r="F11" s="9">
        <v>176.7</v>
      </c>
      <c r="G11" s="19">
        <f t="shared" si="1"/>
        <v>4.5480386583284984E-3</v>
      </c>
    </row>
    <row r="12" spans="1:10" ht="14.4" x14ac:dyDescent="0.3">
      <c r="A12" s="2" t="s">
        <v>34</v>
      </c>
      <c r="B12" s="2">
        <v>2023</v>
      </c>
      <c r="C12" s="2" t="s">
        <v>35</v>
      </c>
      <c r="D12" s="3">
        <v>44958</v>
      </c>
      <c r="E12" s="2" t="str">
        <f t="shared" si="0"/>
        <v>Post-Covid</v>
      </c>
      <c r="F12" s="9">
        <v>177</v>
      </c>
      <c r="G12" s="19">
        <f t="shared" si="1"/>
        <v>1.6977928692700134E-3</v>
      </c>
    </row>
    <row r="13" spans="1:10" ht="14.4" x14ac:dyDescent="0.3">
      <c r="A13" s="2" t="s">
        <v>34</v>
      </c>
      <c r="B13" s="2">
        <v>2023</v>
      </c>
      <c r="C13" s="2" t="s">
        <v>36</v>
      </c>
      <c r="D13" s="3">
        <v>44986</v>
      </c>
      <c r="E13" s="2" t="str">
        <f t="shared" si="0"/>
        <v>Post-Covid</v>
      </c>
      <c r="F13" s="9">
        <v>177</v>
      </c>
      <c r="G13" s="19">
        <f t="shared" si="1"/>
        <v>0</v>
      </c>
    </row>
    <row r="14" spans="1:10" ht="14.4" x14ac:dyDescent="0.3">
      <c r="A14" s="2" t="s">
        <v>34</v>
      </c>
      <c r="B14" s="2">
        <v>2023</v>
      </c>
      <c r="C14" s="2" t="s">
        <v>37</v>
      </c>
      <c r="D14" s="3">
        <v>45017</v>
      </c>
      <c r="E14" s="2" t="str">
        <f t="shared" si="0"/>
        <v>Post-Covid</v>
      </c>
      <c r="F14" s="9">
        <v>177.9</v>
      </c>
      <c r="G14" s="19">
        <f t="shared" si="1"/>
        <v>5.0847457627118961E-3</v>
      </c>
    </row>
    <row r="15" spans="1:10" ht="14.4" x14ac:dyDescent="0.3">
      <c r="A15" s="2" t="s">
        <v>34</v>
      </c>
      <c r="B15" s="2">
        <v>2023</v>
      </c>
      <c r="C15" s="2" t="s">
        <v>38</v>
      </c>
      <c r="D15" s="3">
        <v>45047</v>
      </c>
      <c r="E15" s="2" t="str">
        <f t="shared" si="0"/>
        <v>Post-Covid</v>
      </c>
      <c r="F15" s="9">
        <v>179.1</v>
      </c>
      <c r="G15" s="19">
        <f t="shared" si="1"/>
        <v>6.7453625632377095E-3</v>
      </c>
    </row>
    <row r="122" spans="13:13" x14ac:dyDescent="0.25">
      <c r="M122" s="43"/>
    </row>
  </sheetData>
  <pageMargins left="0.7" right="0.7" top="0.75" bottom="0.75" header="0.3" footer="0.3"/>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D0398-91BA-442C-9DDD-BA4687C49909}">
  <dimension ref="A1:M14"/>
  <sheetViews>
    <sheetView zoomScale="80" zoomScaleNormal="80" workbookViewId="0">
      <selection activeCell="C15" sqref="C15"/>
    </sheetView>
  </sheetViews>
  <sheetFormatPr defaultRowHeight="13.8" x14ac:dyDescent="0.25"/>
  <cols>
    <col min="1" max="1" width="17" bestFit="1" customWidth="1"/>
    <col min="2" max="2" width="14.33203125" customWidth="1"/>
    <col min="3" max="3" width="12.21875" customWidth="1"/>
    <col min="4" max="4" width="5.44140625" bestFit="1" customWidth="1"/>
    <col min="5" max="5" width="13.44140625" customWidth="1"/>
    <col min="6" max="6" width="11.44140625" customWidth="1"/>
    <col min="7" max="7" width="9.33203125" customWidth="1"/>
    <col min="8" max="8" width="12.21875" customWidth="1"/>
    <col min="9" max="9" width="12.109375" customWidth="1"/>
    <col min="10" max="10" width="16.44140625" customWidth="1"/>
    <col min="11" max="11" width="6.6640625" bestFit="1" customWidth="1"/>
    <col min="12" max="12" width="14.5546875" customWidth="1"/>
    <col min="13" max="13" width="21.33203125" customWidth="1"/>
  </cols>
  <sheetData>
    <row r="1" spans="1:13" ht="21" x14ac:dyDescent="0.4">
      <c r="A1" s="34" t="s">
        <v>91</v>
      </c>
    </row>
    <row r="2" spans="1:13" ht="15.6" x14ac:dyDescent="0.3">
      <c r="A2" s="46"/>
      <c r="B2" s="47"/>
      <c r="C2" s="47"/>
    </row>
    <row r="3" spans="1:13" ht="31.2" x14ac:dyDescent="0.25">
      <c r="A3" s="49" t="s">
        <v>86</v>
      </c>
      <c r="B3" s="52" t="s">
        <v>3</v>
      </c>
      <c r="C3" s="52" t="s">
        <v>4</v>
      </c>
      <c r="D3" s="52" t="s">
        <v>5</v>
      </c>
      <c r="E3" s="52" t="s">
        <v>6</v>
      </c>
      <c r="F3" s="52" t="s">
        <v>7</v>
      </c>
      <c r="G3" s="52" t="s">
        <v>8</v>
      </c>
      <c r="H3" s="52" t="s">
        <v>9</v>
      </c>
      <c r="I3" s="52" t="s">
        <v>10</v>
      </c>
      <c r="J3" s="52" t="s">
        <v>11</v>
      </c>
      <c r="K3" s="52" t="s">
        <v>12</v>
      </c>
      <c r="L3" s="52" t="s">
        <v>13</v>
      </c>
      <c r="M3" s="52" t="s">
        <v>14</v>
      </c>
    </row>
    <row r="4" spans="1:13" ht="28.8" x14ac:dyDescent="0.3">
      <c r="A4" s="48" t="s">
        <v>87</v>
      </c>
      <c r="B4" s="9">
        <v>155</v>
      </c>
      <c r="C4" s="9">
        <v>219.4</v>
      </c>
      <c r="D4" s="9">
        <v>170.8</v>
      </c>
      <c r="E4" s="9">
        <v>165.8</v>
      </c>
      <c r="F4" s="9">
        <v>200.9</v>
      </c>
      <c r="G4" s="9">
        <v>169.7</v>
      </c>
      <c r="H4" s="9">
        <v>182.3</v>
      </c>
      <c r="I4" s="9">
        <v>164.3</v>
      </c>
      <c r="J4" s="9">
        <v>119.9</v>
      </c>
      <c r="K4" s="9">
        <v>187.1</v>
      </c>
      <c r="L4" s="9">
        <v>167.9</v>
      </c>
      <c r="M4" s="9">
        <v>183.9</v>
      </c>
    </row>
    <row r="5" spans="1:13" ht="28.8" x14ac:dyDescent="0.3">
      <c r="A5" s="48" t="s">
        <v>88</v>
      </c>
      <c r="B5" s="9">
        <v>173.7</v>
      </c>
      <c r="C5" s="9">
        <v>214.3</v>
      </c>
      <c r="D5" s="9">
        <v>173.2</v>
      </c>
      <c r="E5" s="9">
        <v>179.5</v>
      </c>
      <c r="F5" s="9">
        <v>170</v>
      </c>
      <c r="G5" s="9">
        <v>172.2</v>
      </c>
      <c r="H5" s="9">
        <v>161</v>
      </c>
      <c r="I5" s="9">
        <v>175.6</v>
      </c>
      <c r="J5" s="9">
        <v>122.7</v>
      </c>
      <c r="K5" s="9">
        <v>218</v>
      </c>
      <c r="L5" s="9">
        <v>173.4</v>
      </c>
      <c r="M5" s="9">
        <v>194.2</v>
      </c>
    </row>
    <row r="6" spans="1:13" ht="14.4" x14ac:dyDescent="0.3">
      <c r="A6" s="49" t="s">
        <v>89</v>
      </c>
      <c r="B6" s="50">
        <f t="shared" ref="B6:M6" si="0">B5-B4</f>
        <v>18.699999999999989</v>
      </c>
      <c r="C6" s="50">
        <f t="shared" si="0"/>
        <v>-5.0999999999999943</v>
      </c>
      <c r="D6" s="50">
        <f t="shared" si="0"/>
        <v>2.3999999999999773</v>
      </c>
      <c r="E6" s="50">
        <f t="shared" si="0"/>
        <v>13.699999999999989</v>
      </c>
      <c r="F6" s="50">
        <f t="shared" si="0"/>
        <v>-30.900000000000006</v>
      </c>
      <c r="G6" s="50">
        <f t="shared" si="0"/>
        <v>2.5</v>
      </c>
      <c r="H6" s="50">
        <f t="shared" si="0"/>
        <v>-21.300000000000011</v>
      </c>
      <c r="I6" s="50">
        <f t="shared" si="0"/>
        <v>11.299999999999983</v>
      </c>
      <c r="J6" s="50">
        <f t="shared" si="0"/>
        <v>2.7999999999999972</v>
      </c>
      <c r="K6" s="50">
        <f t="shared" si="0"/>
        <v>30.900000000000006</v>
      </c>
      <c r="L6" s="50">
        <f t="shared" si="0"/>
        <v>5.5</v>
      </c>
      <c r="M6" s="50">
        <f t="shared" si="0"/>
        <v>10.299999999999983</v>
      </c>
    </row>
    <row r="7" spans="1:13" ht="15.6" x14ac:dyDescent="0.3">
      <c r="A7" s="46"/>
      <c r="B7" s="47"/>
      <c r="C7" s="47"/>
    </row>
    <row r="8" spans="1:13" ht="14.4" x14ac:dyDescent="0.3">
      <c r="A8" t="s">
        <v>90</v>
      </c>
      <c r="B8" s="47"/>
      <c r="C8" s="47"/>
    </row>
    <row r="9" spans="1:13" ht="14.4" x14ac:dyDescent="0.25">
      <c r="A9" s="51" t="s">
        <v>92</v>
      </c>
      <c r="B9" s="47"/>
      <c r="C9" s="47"/>
    </row>
    <row r="10" spans="1:13" x14ac:dyDescent="0.25">
      <c r="A10" t="s">
        <v>93</v>
      </c>
      <c r="B10" s="47"/>
      <c r="C10" s="47"/>
    </row>
    <row r="11" spans="1:13" x14ac:dyDescent="0.25">
      <c r="B11" s="47"/>
      <c r="C11" s="47"/>
    </row>
    <row r="12" spans="1:13" x14ac:dyDescent="0.25">
      <c r="A12" s="43"/>
      <c r="B12" s="47"/>
      <c r="C12" s="47"/>
    </row>
    <row r="13" spans="1:13" x14ac:dyDescent="0.25">
      <c r="A13" s="43"/>
      <c r="B13" s="47"/>
      <c r="C13" s="47"/>
    </row>
    <row r="14" spans="1:13" x14ac:dyDescent="0.25">
      <c r="A14" s="43"/>
      <c r="B14" s="47"/>
      <c r="C14" s="4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065F-4349-4779-881F-B85D752BEE0E}">
  <dimension ref="A1:L127"/>
  <sheetViews>
    <sheetView zoomScale="103" zoomScaleNormal="80" workbookViewId="0">
      <selection activeCell="Q11" sqref="Q11"/>
    </sheetView>
  </sheetViews>
  <sheetFormatPr defaultRowHeight="13.8" x14ac:dyDescent="0.25"/>
  <cols>
    <col min="1" max="1" width="12.5546875" customWidth="1"/>
    <col min="2" max="2" width="5" bestFit="1" customWidth="1"/>
    <col min="3" max="3" width="9.44140625" bestFit="1" customWidth="1"/>
    <col min="4" max="4" width="7" bestFit="1" customWidth="1"/>
    <col min="5" max="5" width="10.88671875" bestFit="1" customWidth="1"/>
    <col min="6" max="6" width="20" customWidth="1"/>
    <col min="7" max="7" width="8.33203125" customWidth="1"/>
    <col min="8" max="8" width="17.33203125" bestFit="1" customWidth="1"/>
  </cols>
  <sheetData>
    <row r="1" spans="1:12" x14ac:dyDescent="0.25">
      <c r="A1" s="16" t="s">
        <v>73</v>
      </c>
    </row>
    <row r="3" spans="1:12" ht="15.6" x14ac:dyDescent="0.3">
      <c r="A3" s="1" t="s">
        <v>0</v>
      </c>
      <c r="B3" s="1" t="s">
        <v>1</v>
      </c>
      <c r="C3" s="1" t="s">
        <v>2</v>
      </c>
      <c r="D3" s="1" t="s">
        <v>48</v>
      </c>
      <c r="E3" s="1" t="s">
        <v>49</v>
      </c>
      <c r="F3" s="7" t="s">
        <v>15</v>
      </c>
      <c r="G3" s="7" t="s">
        <v>23</v>
      </c>
      <c r="H3" s="7" t="s">
        <v>72</v>
      </c>
      <c r="I3" s="8" t="s">
        <v>29</v>
      </c>
      <c r="L3" t="s">
        <v>64</v>
      </c>
    </row>
    <row r="4" spans="1:12" ht="14.4" x14ac:dyDescent="0.3">
      <c r="A4" s="2" t="s">
        <v>34</v>
      </c>
      <c r="B4" s="2">
        <v>2013</v>
      </c>
      <c r="C4" s="2" t="s">
        <v>31</v>
      </c>
      <c r="D4" s="3">
        <v>41275</v>
      </c>
      <c r="E4" s="2" t="str">
        <f t="shared" ref="E4:E67" si="0">IF(D4&lt;DATE(2020,3,1),"Pre-Covid","Post-Covid")</f>
        <v>Pre-Covid</v>
      </c>
      <c r="F4" s="9">
        <v>105.6</v>
      </c>
      <c r="G4" s="9">
        <v>104</v>
      </c>
      <c r="H4" s="9">
        <f>AVERAGE(' Broder Category Data '!M4,' Broder Category Data '!N4,' Broder Category Data '!O4,' Broder Category Data '!Q4)</f>
        <v>103.14999999999999</v>
      </c>
      <c r="I4" s="9">
        <v>104.6</v>
      </c>
      <c r="L4" t="s">
        <v>100</v>
      </c>
    </row>
    <row r="5" spans="1:12" ht="14.4" x14ac:dyDescent="0.3">
      <c r="A5" s="2" t="s">
        <v>34</v>
      </c>
      <c r="B5" s="2">
        <v>2013</v>
      </c>
      <c r="C5" s="2" t="s">
        <v>35</v>
      </c>
      <c r="D5" s="3">
        <v>41306</v>
      </c>
      <c r="E5" s="2" t="str">
        <f t="shared" si="0"/>
        <v>Pre-Covid</v>
      </c>
      <c r="F5" s="9">
        <v>106.6</v>
      </c>
      <c r="G5" s="9">
        <v>104.5</v>
      </c>
      <c r="H5" s="9">
        <f>AVERAGE(' Broder Category Data '!M5,' Broder Category Data '!N5,' Broder Category Data '!O5,' Broder Category Data '!Q5)</f>
        <v>103.625</v>
      </c>
      <c r="I5" s="9">
        <v>105.3</v>
      </c>
    </row>
    <row r="6" spans="1:12" ht="14.4" x14ac:dyDescent="0.3">
      <c r="A6" s="2" t="s">
        <v>34</v>
      </c>
      <c r="B6" s="2">
        <v>2013</v>
      </c>
      <c r="C6" s="2" t="s">
        <v>36</v>
      </c>
      <c r="D6" s="3">
        <v>41334</v>
      </c>
      <c r="E6" s="2" t="str">
        <f t="shared" si="0"/>
        <v>Pre-Covid</v>
      </c>
      <c r="F6" s="9">
        <v>106.9</v>
      </c>
      <c r="G6" s="9">
        <v>104.9</v>
      </c>
      <c r="H6" s="9">
        <f>AVERAGE(' Broder Category Data '!M6,' Broder Category Data '!N6,' Broder Category Data '!O6,' Broder Category Data '!Q6)</f>
        <v>103.9</v>
      </c>
      <c r="I6" s="9">
        <v>105.5</v>
      </c>
    </row>
    <row r="7" spans="1:12" ht="14.4" x14ac:dyDescent="0.3">
      <c r="A7" s="2" t="s">
        <v>34</v>
      </c>
      <c r="B7" s="2">
        <v>2013</v>
      </c>
      <c r="C7" s="2" t="s">
        <v>37</v>
      </c>
      <c r="D7" s="3">
        <v>41365</v>
      </c>
      <c r="E7" s="2" t="str">
        <f t="shared" si="0"/>
        <v>Pre-Covid</v>
      </c>
      <c r="F7" s="9">
        <v>107.7</v>
      </c>
      <c r="G7" s="9">
        <v>105.3</v>
      </c>
      <c r="H7" s="9">
        <f>AVERAGE(' Broder Category Data '!M7,' Broder Category Data '!N7,' Broder Category Data '!O7,' Broder Category Data '!Q7)</f>
        <v>104.175</v>
      </c>
      <c r="I7" s="9">
        <v>106.1</v>
      </c>
    </row>
    <row r="8" spans="1:12" ht="14.4" x14ac:dyDescent="0.3">
      <c r="A8" s="2" t="s">
        <v>34</v>
      </c>
      <c r="B8" s="2">
        <v>2013</v>
      </c>
      <c r="C8" s="2" t="s">
        <v>38</v>
      </c>
      <c r="D8" s="3">
        <v>41395</v>
      </c>
      <c r="E8" s="2" t="str">
        <f t="shared" si="0"/>
        <v>Pre-Covid</v>
      </c>
      <c r="F8" s="9">
        <v>109.2</v>
      </c>
      <c r="G8" s="9">
        <v>105.9</v>
      </c>
      <c r="H8" s="9">
        <f>AVERAGE(' Broder Category Data '!M8,' Broder Category Data '!N8,' Broder Category Data '!O8,' Broder Category Data '!Q8)</f>
        <v>104.375</v>
      </c>
      <c r="I8" s="9">
        <v>106.9</v>
      </c>
    </row>
    <row r="9" spans="1:12" ht="14.4" x14ac:dyDescent="0.3">
      <c r="A9" s="2" t="s">
        <v>34</v>
      </c>
      <c r="B9" s="2">
        <v>2013</v>
      </c>
      <c r="C9" s="2" t="s">
        <v>39</v>
      </c>
      <c r="D9" s="3">
        <v>41426</v>
      </c>
      <c r="E9" s="2" t="str">
        <f t="shared" si="0"/>
        <v>Pre-Covid</v>
      </c>
      <c r="F9" s="9">
        <v>112.2</v>
      </c>
      <c r="G9" s="9">
        <v>106.4</v>
      </c>
      <c r="H9" s="9">
        <f>AVERAGE(' Broder Category Data '!M9,' Broder Category Data '!N9,' Broder Category Data '!O9,' Broder Category Data '!Q9)</f>
        <v>106.85</v>
      </c>
      <c r="I9" s="9">
        <v>109.3</v>
      </c>
    </row>
    <row r="10" spans="1:12" ht="14.4" x14ac:dyDescent="0.3">
      <c r="A10" s="2" t="s">
        <v>34</v>
      </c>
      <c r="B10" s="2">
        <v>2013</v>
      </c>
      <c r="C10" s="2" t="s">
        <v>40</v>
      </c>
      <c r="D10" s="3">
        <v>41456</v>
      </c>
      <c r="E10" s="2" t="str">
        <f t="shared" si="0"/>
        <v>Pre-Covid</v>
      </c>
      <c r="F10" s="9">
        <v>114.7</v>
      </c>
      <c r="G10" s="9">
        <v>107</v>
      </c>
      <c r="H10" s="9">
        <f>AVERAGE(' Broder Category Data '!M10,' Broder Category Data '!N10,' Broder Category Data '!O10,' Broder Category Data '!Q10)</f>
        <v>108.27500000000001</v>
      </c>
      <c r="I10" s="9">
        <v>111</v>
      </c>
    </row>
    <row r="11" spans="1:12" ht="14.4" x14ac:dyDescent="0.3">
      <c r="A11" s="2" t="s">
        <v>34</v>
      </c>
      <c r="B11" s="2">
        <v>2013</v>
      </c>
      <c r="C11" s="2" t="s">
        <v>41</v>
      </c>
      <c r="D11" s="3">
        <v>41487</v>
      </c>
      <c r="E11" s="2" t="str">
        <f t="shared" si="0"/>
        <v>Pre-Covid</v>
      </c>
      <c r="F11" s="9">
        <v>116.6</v>
      </c>
      <c r="G11" s="9">
        <v>107.5</v>
      </c>
      <c r="H11" s="9">
        <f>AVERAGE(' Broder Category Data '!M11,' Broder Category Data '!N11,' Broder Category Data '!O11,' Broder Category Data '!Q11)</f>
        <v>109.125</v>
      </c>
      <c r="I11" s="9">
        <v>112.4</v>
      </c>
    </row>
    <row r="12" spans="1:12" ht="14.4" x14ac:dyDescent="0.3">
      <c r="A12" s="2" t="s">
        <v>34</v>
      </c>
      <c r="B12" s="2">
        <v>2013</v>
      </c>
      <c r="C12" s="2" t="s">
        <v>42</v>
      </c>
      <c r="D12" s="3">
        <v>41518</v>
      </c>
      <c r="E12" s="2" t="str">
        <f t="shared" si="0"/>
        <v>Pre-Covid</v>
      </c>
      <c r="F12" s="9">
        <v>118.3</v>
      </c>
      <c r="G12" s="9">
        <v>108.1</v>
      </c>
      <c r="H12" s="9">
        <f>AVERAGE(' Broder Category Data '!M12,' Broder Category Data '!N12,' Broder Category Data '!O12,' Broder Category Data '!Q12)</f>
        <v>110.17499999999998</v>
      </c>
      <c r="I12" s="9">
        <v>113.7</v>
      </c>
    </row>
    <row r="13" spans="1:12" ht="14.4" x14ac:dyDescent="0.3">
      <c r="A13" s="2" t="s">
        <v>34</v>
      </c>
      <c r="B13" s="2">
        <v>2013</v>
      </c>
      <c r="C13" s="2" t="s">
        <v>43</v>
      </c>
      <c r="D13" s="3">
        <v>41548</v>
      </c>
      <c r="E13" s="2" t="str">
        <f t="shared" si="0"/>
        <v>Pre-Covid</v>
      </c>
      <c r="F13" s="9">
        <v>120.2</v>
      </c>
      <c r="G13" s="9">
        <v>108.6</v>
      </c>
      <c r="H13" s="9">
        <f>AVERAGE(' Broder Category Data '!M13,' Broder Category Data '!N13,' Broder Category Data '!O13,' Broder Category Data '!Q13)</f>
        <v>110.425</v>
      </c>
      <c r="I13" s="9">
        <v>114.8</v>
      </c>
    </row>
    <row r="14" spans="1:12" ht="14.4" x14ac:dyDescent="0.3">
      <c r="A14" s="2" t="s">
        <v>34</v>
      </c>
      <c r="B14" s="2">
        <v>2013</v>
      </c>
      <c r="C14" s="2" t="s">
        <v>44</v>
      </c>
      <c r="D14" s="3">
        <v>41579</v>
      </c>
      <c r="E14" s="2" t="str">
        <f t="shared" si="0"/>
        <v>Pre-Covid</v>
      </c>
      <c r="F14" s="9">
        <v>122.6</v>
      </c>
      <c r="G14" s="9">
        <v>109.3</v>
      </c>
      <c r="H14" s="9">
        <f>AVERAGE(' Broder Category Data '!M14,' Broder Category Data '!N14,' Broder Category Data '!O14,' Broder Category Data '!Q14)</f>
        <v>110.85</v>
      </c>
      <c r="I14" s="9">
        <v>116.3</v>
      </c>
    </row>
    <row r="15" spans="1:12" ht="14.4" x14ac:dyDescent="0.3">
      <c r="A15" s="2" t="s">
        <v>34</v>
      </c>
      <c r="B15" s="2">
        <v>2013</v>
      </c>
      <c r="C15" s="2" t="s">
        <v>45</v>
      </c>
      <c r="D15" s="3">
        <v>41609</v>
      </c>
      <c r="E15" s="2" t="str">
        <f t="shared" si="0"/>
        <v>Pre-Covid</v>
      </c>
      <c r="F15" s="9">
        <v>118.4</v>
      </c>
      <c r="G15" s="9">
        <v>109.7</v>
      </c>
      <c r="H15" s="9">
        <f>AVERAGE(' Broder Category Data '!M15,' Broder Category Data '!N15,' Broder Category Data '!O15,' Broder Category Data '!Q15)</f>
        <v>110.97500000000001</v>
      </c>
      <c r="I15" s="9">
        <v>114.5</v>
      </c>
    </row>
    <row r="16" spans="1:12" ht="14.4" x14ac:dyDescent="0.3">
      <c r="A16" s="2" t="s">
        <v>34</v>
      </c>
      <c r="B16" s="2">
        <v>2014</v>
      </c>
      <c r="C16" s="2" t="s">
        <v>31</v>
      </c>
      <c r="D16" s="3">
        <v>41640</v>
      </c>
      <c r="E16" s="2" t="str">
        <f t="shared" si="0"/>
        <v>Pre-Covid</v>
      </c>
      <c r="F16" s="9">
        <v>115.8</v>
      </c>
      <c r="G16" s="9">
        <v>110.3</v>
      </c>
      <c r="H16" s="9">
        <f>AVERAGE(' Broder Category Data '!M16,' Broder Category Data '!N16,' Broder Category Data '!O16,' Broder Category Data '!Q16)</f>
        <v>111.52499999999999</v>
      </c>
      <c r="I16" s="9">
        <v>113.6</v>
      </c>
    </row>
    <row r="17" spans="1:9" ht="14.4" x14ac:dyDescent="0.3">
      <c r="A17" s="2" t="s">
        <v>34</v>
      </c>
      <c r="B17" s="2">
        <v>2014</v>
      </c>
      <c r="C17" s="2" t="s">
        <v>35</v>
      </c>
      <c r="D17" s="3">
        <v>41671</v>
      </c>
      <c r="E17" s="2" t="str">
        <f t="shared" si="0"/>
        <v>Pre-Covid</v>
      </c>
      <c r="F17" s="9">
        <v>115.3</v>
      </c>
      <c r="G17" s="9">
        <v>110.7</v>
      </c>
      <c r="H17" s="9">
        <f>AVERAGE(' Broder Category Data '!M17,' Broder Category Data '!N17,' Broder Category Data '!O17,' Broder Category Data '!Q17)</f>
        <v>111.94999999999999</v>
      </c>
      <c r="I17" s="9">
        <v>113.6</v>
      </c>
    </row>
    <row r="18" spans="1:9" ht="14.4" x14ac:dyDescent="0.3">
      <c r="A18" s="2" t="s">
        <v>34</v>
      </c>
      <c r="B18" s="2">
        <v>2014</v>
      </c>
      <c r="C18" s="2" t="s">
        <v>46</v>
      </c>
      <c r="D18" s="3">
        <v>41699</v>
      </c>
      <c r="E18" s="2" t="str">
        <f t="shared" si="0"/>
        <v>Pre-Covid</v>
      </c>
      <c r="F18" s="9">
        <v>116.1</v>
      </c>
      <c r="G18" s="9">
        <v>111.2</v>
      </c>
      <c r="H18" s="9">
        <f>AVERAGE(' Broder Category Data '!M18,' Broder Category Data '!N18,' Broder Category Data '!O18,' Broder Category Data '!Q18)</f>
        <v>112.27500000000001</v>
      </c>
      <c r="I18" s="9">
        <v>114.2</v>
      </c>
    </row>
    <row r="19" spans="1:9" ht="14.4" x14ac:dyDescent="0.3">
      <c r="A19" s="2" t="s">
        <v>34</v>
      </c>
      <c r="B19" s="2">
        <v>2014</v>
      </c>
      <c r="C19" s="2" t="s">
        <v>37</v>
      </c>
      <c r="D19" s="3">
        <v>41730</v>
      </c>
      <c r="E19" s="2" t="str">
        <f t="shared" si="0"/>
        <v>Pre-Covid</v>
      </c>
      <c r="F19" s="9">
        <v>117.6</v>
      </c>
      <c r="G19" s="9">
        <v>111.5</v>
      </c>
      <c r="H19" s="9">
        <f>AVERAGE(' Broder Category Data '!M19,' Broder Category Data '!N19,' Broder Category Data '!O19,' Broder Category Data '!Q19)</f>
        <v>112.575</v>
      </c>
      <c r="I19" s="9">
        <v>115.1</v>
      </c>
    </row>
    <row r="20" spans="1:9" ht="14.4" x14ac:dyDescent="0.3">
      <c r="A20" s="2" t="s">
        <v>34</v>
      </c>
      <c r="B20" s="2">
        <v>2014</v>
      </c>
      <c r="C20" s="2" t="s">
        <v>38</v>
      </c>
      <c r="D20" s="3">
        <v>41760</v>
      </c>
      <c r="E20" s="2" t="str">
        <f t="shared" si="0"/>
        <v>Pre-Covid</v>
      </c>
      <c r="F20" s="9">
        <v>118.9</v>
      </c>
      <c r="G20" s="9">
        <v>111.8</v>
      </c>
      <c r="H20" s="9">
        <f>AVERAGE(' Broder Category Data '!M20,' Broder Category Data '!N20,' Broder Category Data '!O20,' Broder Category Data '!Q20)</f>
        <v>112.77500000000001</v>
      </c>
      <c r="I20" s="9">
        <v>115.8</v>
      </c>
    </row>
    <row r="21" spans="1:9" ht="14.4" x14ac:dyDescent="0.3">
      <c r="A21" s="2" t="s">
        <v>34</v>
      </c>
      <c r="B21" s="2">
        <v>2014</v>
      </c>
      <c r="C21" s="2" t="s">
        <v>39</v>
      </c>
      <c r="D21" s="3">
        <v>41791</v>
      </c>
      <c r="E21" s="2" t="str">
        <f t="shared" si="0"/>
        <v>Pre-Covid</v>
      </c>
      <c r="F21" s="9">
        <v>120.4</v>
      </c>
      <c r="G21" s="9">
        <v>112.3</v>
      </c>
      <c r="H21" s="9">
        <f>AVERAGE(' Broder Category Data '!M21,' Broder Category Data '!N21,' Broder Category Data '!O21,' Broder Category Data '!Q21)</f>
        <v>113.42500000000001</v>
      </c>
      <c r="I21" s="9">
        <v>116.7</v>
      </c>
    </row>
    <row r="22" spans="1:9" ht="14.4" x14ac:dyDescent="0.3">
      <c r="A22" s="2" t="s">
        <v>34</v>
      </c>
      <c r="B22" s="2">
        <v>2014</v>
      </c>
      <c r="C22" s="2" t="s">
        <v>40</v>
      </c>
      <c r="D22" s="3">
        <v>41821</v>
      </c>
      <c r="E22" s="2" t="str">
        <f t="shared" si="0"/>
        <v>Pre-Covid</v>
      </c>
      <c r="F22" s="9">
        <v>124.7</v>
      </c>
      <c r="G22" s="9">
        <v>112.7</v>
      </c>
      <c r="H22" s="9">
        <f>AVERAGE(' Broder Category Data '!M22,' Broder Category Data '!N22,' Broder Category Data '!O22,' Broder Category Data '!Q22)</f>
        <v>114.65</v>
      </c>
      <c r="I22" s="9">
        <v>119.2</v>
      </c>
    </row>
    <row r="23" spans="1:9" ht="14.4" x14ac:dyDescent="0.3">
      <c r="A23" s="2" t="s">
        <v>34</v>
      </c>
      <c r="B23" s="2">
        <v>2014</v>
      </c>
      <c r="C23" s="2" t="s">
        <v>41</v>
      </c>
      <c r="D23" s="3">
        <v>41852</v>
      </c>
      <c r="E23" s="2" t="str">
        <f t="shared" si="0"/>
        <v>Pre-Covid</v>
      </c>
      <c r="F23" s="9">
        <v>126.6</v>
      </c>
      <c r="G23" s="9">
        <v>113.3</v>
      </c>
      <c r="H23" s="9">
        <f>AVERAGE(' Broder Category Data '!M23,' Broder Category Data '!N23,' Broder Category Data '!O23,' Broder Category Data '!Q23)</f>
        <v>115.075</v>
      </c>
      <c r="I23" s="9">
        <v>120.3</v>
      </c>
    </row>
    <row r="24" spans="1:9" ht="14.4" x14ac:dyDescent="0.3">
      <c r="A24" s="2" t="s">
        <v>34</v>
      </c>
      <c r="B24" s="2">
        <v>2014</v>
      </c>
      <c r="C24" s="2" t="s">
        <v>42</v>
      </c>
      <c r="D24" s="3">
        <v>41883</v>
      </c>
      <c r="E24" s="2" t="str">
        <f t="shared" si="0"/>
        <v>Pre-Covid</v>
      </c>
      <c r="F24" s="9">
        <v>125.8</v>
      </c>
      <c r="G24" s="9">
        <v>113.7</v>
      </c>
      <c r="H24" s="9">
        <f>AVERAGE(' Broder Category Data '!M24,' Broder Category Data '!N24,' Broder Category Data '!O24,' Broder Category Data '!Q24)</f>
        <v>115.25</v>
      </c>
      <c r="I24" s="9">
        <v>120.1</v>
      </c>
    </row>
    <row r="25" spans="1:9" ht="14.4" x14ac:dyDescent="0.3">
      <c r="A25" s="2" t="s">
        <v>34</v>
      </c>
      <c r="B25" s="2">
        <v>2014</v>
      </c>
      <c r="C25" s="2" t="s">
        <v>43</v>
      </c>
      <c r="D25" s="3">
        <v>41913</v>
      </c>
      <c r="E25" s="2" t="str">
        <f t="shared" si="0"/>
        <v>Pre-Covid</v>
      </c>
      <c r="F25" s="9">
        <v>125.4</v>
      </c>
      <c r="G25" s="9">
        <v>114.3</v>
      </c>
      <c r="H25" s="9">
        <f>AVERAGE(' Broder Category Data '!M25,' Broder Category Data '!N25,' Broder Category Data '!O25,' Broder Category Data '!Q25)</f>
        <v>115.5</v>
      </c>
      <c r="I25" s="9">
        <v>120.1</v>
      </c>
    </row>
    <row r="26" spans="1:9" ht="14.4" x14ac:dyDescent="0.3">
      <c r="A26" s="2" t="s">
        <v>34</v>
      </c>
      <c r="B26" s="2">
        <v>2014</v>
      </c>
      <c r="C26" s="2" t="s">
        <v>44</v>
      </c>
      <c r="D26" s="3">
        <v>41944</v>
      </c>
      <c r="E26" s="2" t="str">
        <f t="shared" si="0"/>
        <v>Pre-Covid</v>
      </c>
      <c r="F26" s="9">
        <v>125.1</v>
      </c>
      <c r="G26" s="9">
        <v>114.8</v>
      </c>
      <c r="H26" s="9">
        <f>AVERAGE(' Broder Category Data '!M26,' Broder Category Data '!N26,' Broder Category Data '!O26,' Broder Category Data '!Q26)</f>
        <v>115.60000000000001</v>
      </c>
      <c r="I26" s="9">
        <v>120.1</v>
      </c>
    </row>
    <row r="27" spans="1:9" ht="14.4" x14ac:dyDescent="0.3">
      <c r="A27" s="2" t="s">
        <v>34</v>
      </c>
      <c r="B27" s="2">
        <v>2014</v>
      </c>
      <c r="C27" s="2" t="s">
        <v>45</v>
      </c>
      <c r="D27" s="3">
        <v>41974</v>
      </c>
      <c r="E27" s="2" t="str">
        <f t="shared" si="0"/>
        <v>Pre-Covid</v>
      </c>
      <c r="F27" s="9">
        <v>123.6</v>
      </c>
      <c r="G27" s="9">
        <v>115.1</v>
      </c>
      <c r="H27" s="9">
        <f>AVERAGE(' Broder Category Data '!M27,' Broder Category Data '!N27,' Broder Category Data '!O27,' Broder Category Data '!Q27)</f>
        <v>115.44999999999999</v>
      </c>
      <c r="I27" s="9">
        <v>119.4</v>
      </c>
    </row>
    <row r="28" spans="1:9" ht="14.4" x14ac:dyDescent="0.3">
      <c r="A28" s="2" t="s">
        <v>34</v>
      </c>
      <c r="B28" s="2">
        <v>2015</v>
      </c>
      <c r="C28" s="2" t="s">
        <v>31</v>
      </c>
      <c r="D28" s="3">
        <v>42005</v>
      </c>
      <c r="E28" s="2" t="str">
        <f t="shared" si="0"/>
        <v>Pre-Covid</v>
      </c>
      <c r="F28" s="9">
        <v>123.1</v>
      </c>
      <c r="G28" s="9">
        <v>115.5</v>
      </c>
      <c r="H28" s="9">
        <f>AVERAGE(' Broder Category Data '!M28,' Broder Category Data '!N28,' Broder Category Data '!O28,' Broder Category Data '!Q28)</f>
        <v>115.72499999999999</v>
      </c>
      <c r="I28" s="9">
        <v>119.5</v>
      </c>
    </row>
    <row r="29" spans="1:9" ht="14.4" x14ac:dyDescent="0.3">
      <c r="A29" s="2" t="s">
        <v>34</v>
      </c>
      <c r="B29" s="2">
        <v>2015</v>
      </c>
      <c r="C29" s="2" t="s">
        <v>35</v>
      </c>
      <c r="D29" s="3">
        <v>42036</v>
      </c>
      <c r="E29" s="2" t="str">
        <f t="shared" si="0"/>
        <v>Pre-Covid</v>
      </c>
      <c r="F29" s="9">
        <v>123.1</v>
      </c>
      <c r="G29" s="9">
        <v>116.3</v>
      </c>
      <c r="H29" s="9">
        <f>AVERAGE(' Broder Category Data '!M29,' Broder Category Data '!N29,' Broder Category Data '!O29,' Broder Category Data '!Q29)</f>
        <v>116.05</v>
      </c>
      <c r="I29" s="9">
        <v>119.7</v>
      </c>
    </row>
    <row r="30" spans="1:9" ht="14.4" x14ac:dyDescent="0.3">
      <c r="A30" s="2" t="s">
        <v>34</v>
      </c>
      <c r="B30" s="2">
        <v>2015</v>
      </c>
      <c r="C30" s="2" t="s">
        <v>36</v>
      </c>
      <c r="D30" s="3">
        <v>42064</v>
      </c>
      <c r="E30" s="2" t="str">
        <f t="shared" si="0"/>
        <v>Pre-Covid</v>
      </c>
      <c r="F30" s="9">
        <v>123.4</v>
      </c>
      <c r="G30" s="9">
        <v>116.7</v>
      </c>
      <c r="H30" s="9">
        <f>AVERAGE(' Broder Category Data '!M30,' Broder Category Data '!N30,' Broder Category Data '!O30,' Broder Category Data '!Q30)</f>
        <v>116.72499999999999</v>
      </c>
      <c r="I30" s="9">
        <v>120.2</v>
      </c>
    </row>
    <row r="31" spans="1:9" ht="14.4" x14ac:dyDescent="0.3">
      <c r="A31" s="2" t="s">
        <v>34</v>
      </c>
      <c r="B31" s="2">
        <v>2015</v>
      </c>
      <c r="C31" s="2" t="s">
        <v>37</v>
      </c>
      <c r="D31" s="3">
        <v>42095</v>
      </c>
      <c r="E31" s="2" t="str">
        <f t="shared" si="0"/>
        <v>Pre-Covid</v>
      </c>
      <c r="F31" s="9">
        <v>124</v>
      </c>
      <c r="G31" s="9">
        <v>117.1</v>
      </c>
      <c r="H31" s="9">
        <f>AVERAGE(' Broder Category Data '!M31,' Broder Category Data '!N31,' Broder Category Data '!O31,' Broder Category Data '!Q31)</f>
        <v>117.25</v>
      </c>
      <c r="I31" s="9">
        <v>120.7</v>
      </c>
    </row>
    <row r="32" spans="1:9" ht="14.4" x14ac:dyDescent="0.3">
      <c r="A32" s="2" t="s">
        <v>34</v>
      </c>
      <c r="B32" s="2">
        <v>2015</v>
      </c>
      <c r="C32" s="2" t="s">
        <v>38</v>
      </c>
      <c r="D32" s="3">
        <v>42125</v>
      </c>
      <c r="E32" s="2" t="str">
        <f t="shared" si="0"/>
        <v>Pre-Covid</v>
      </c>
      <c r="F32" s="9">
        <v>125</v>
      </c>
      <c r="G32" s="9">
        <v>117.7</v>
      </c>
      <c r="H32" s="9">
        <f>AVERAGE(' Broder Category Data '!M32,' Broder Category Data '!N32,' Broder Category Data '!O32,' Broder Category Data '!Q32)</f>
        <v>118.05000000000001</v>
      </c>
      <c r="I32" s="9">
        <v>121.6</v>
      </c>
    </row>
    <row r="33" spans="1:9" ht="14.4" x14ac:dyDescent="0.3">
      <c r="A33" s="2" t="s">
        <v>34</v>
      </c>
      <c r="B33" s="2">
        <v>2015</v>
      </c>
      <c r="C33" s="2" t="s">
        <v>39</v>
      </c>
      <c r="D33" s="3">
        <v>42156</v>
      </c>
      <c r="E33" s="2" t="str">
        <f t="shared" si="0"/>
        <v>Pre-Covid</v>
      </c>
      <c r="F33" s="9">
        <v>127.3</v>
      </c>
      <c r="G33" s="9">
        <v>118.5</v>
      </c>
      <c r="H33" s="9">
        <f>AVERAGE(' Broder Category Data '!M33,' Broder Category Data '!N33,' Broder Category Data '!O33,' Broder Category Data '!Q33)</f>
        <v>118.69999999999999</v>
      </c>
      <c r="I33" s="9">
        <v>123</v>
      </c>
    </row>
    <row r="34" spans="1:9" ht="14.4" x14ac:dyDescent="0.3">
      <c r="A34" s="2" t="s">
        <v>34</v>
      </c>
      <c r="B34" s="2">
        <v>2015</v>
      </c>
      <c r="C34" s="2" t="s">
        <v>40</v>
      </c>
      <c r="D34" s="3">
        <v>42186</v>
      </c>
      <c r="E34" s="2" t="str">
        <f t="shared" si="0"/>
        <v>Pre-Covid</v>
      </c>
      <c r="F34" s="9">
        <v>128.19999999999999</v>
      </c>
      <c r="G34" s="9">
        <v>119</v>
      </c>
      <c r="H34" s="9">
        <f>AVERAGE(' Broder Category Data '!M34,' Broder Category Data '!N34,' Broder Category Data '!O34,' Broder Category Data '!Q34)</f>
        <v>119.27499999999999</v>
      </c>
      <c r="I34" s="9">
        <v>123.6</v>
      </c>
    </row>
    <row r="35" spans="1:9" ht="14.4" x14ac:dyDescent="0.3">
      <c r="A35" s="2" t="s">
        <v>34</v>
      </c>
      <c r="B35" s="2">
        <v>2015</v>
      </c>
      <c r="C35" s="2" t="s">
        <v>41</v>
      </c>
      <c r="D35" s="3">
        <v>42217</v>
      </c>
      <c r="E35" s="2" t="str">
        <f t="shared" si="0"/>
        <v>Pre-Covid</v>
      </c>
      <c r="F35" s="9">
        <v>130.30000000000001</v>
      </c>
      <c r="G35" s="9">
        <v>119.4</v>
      </c>
      <c r="H35" s="9">
        <f>AVERAGE(' Broder Category Data '!M35,' Broder Category Data '!N35,' Broder Category Data '!O35,' Broder Category Data '!Q35)</f>
        <v>119.575</v>
      </c>
      <c r="I35" s="9">
        <v>124.8</v>
      </c>
    </row>
    <row r="36" spans="1:9" ht="14.4" x14ac:dyDescent="0.3">
      <c r="A36" s="2" t="s">
        <v>34</v>
      </c>
      <c r="B36" s="2">
        <v>2015</v>
      </c>
      <c r="C36" s="2" t="s">
        <v>42</v>
      </c>
      <c r="D36" s="3">
        <v>42248</v>
      </c>
      <c r="E36" s="2" t="str">
        <f t="shared" si="0"/>
        <v>Pre-Covid</v>
      </c>
      <c r="F36" s="9">
        <v>131.19999999999999</v>
      </c>
      <c r="G36" s="9">
        <v>119.8</v>
      </c>
      <c r="H36" s="9">
        <f>AVERAGE(' Broder Category Data '!M36,' Broder Category Data '!N36,' Broder Category Data '!O36,' Broder Category Data '!Q36)</f>
        <v>119.75</v>
      </c>
      <c r="I36" s="9">
        <v>125.4</v>
      </c>
    </row>
    <row r="37" spans="1:9" ht="14.4" x14ac:dyDescent="0.3">
      <c r="A37" s="2" t="s">
        <v>34</v>
      </c>
      <c r="B37" s="2">
        <v>2015</v>
      </c>
      <c r="C37" s="2" t="s">
        <v>43</v>
      </c>
      <c r="D37" s="3">
        <v>42278</v>
      </c>
      <c r="E37" s="2" t="str">
        <f t="shared" si="0"/>
        <v>Pre-Covid</v>
      </c>
      <c r="F37" s="9">
        <v>132.1</v>
      </c>
      <c r="G37" s="9">
        <v>120.4</v>
      </c>
      <c r="H37" s="9">
        <f>AVERAGE(' Broder Category Data '!M37,' Broder Category Data '!N37,' Broder Category Data '!O37,' Broder Category Data '!Q37)</f>
        <v>120.125</v>
      </c>
      <c r="I37" s="9">
        <v>126.1</v>
      </c>
    </row>
    <row r="38" spans="1:9" ht="14.4" x14ac:dyDescent="0.3">
      <c r="A38" s="2" t="s">
        <v>34</v>
      </c>
      <c r="B38" s="2">
        <v>2015</v>
      </c>
      <c r="C38" s="2" t="s">
        <v>44</v>
      </c>
      <c r="D38" s="3">
        <v>42309</v>
      </c>
      <c r="E38" s="2" t="str">
        <f t="shared" si="0"/>
        <v>Pre-Covid</v>
      </c>
      <c r="F38" s="9">
        <v>132.69999999999999</v>
      </c>
      <c r="G38" s="9">
        <v>120.9</v>
      </c>
      <c r="H38" s="9">
        <f>AVERAGE(' Broder Category Data '!M38,' Broder Category Data '!N38,' Broder Category Data '!O38,' Broder Category Data '!Q38)</f>
        <v>120.575</v>
      </c>
      <c r="I38" s="9">
        <v>126.6</v>
      </c>
    </row>
    <row r="39" spans="1:9" ht="14.4" x14ac:dyDescent="0.3">
      <c r="A39" s="2" t="s">
        <v>34</v>
      </c>
      <c r="B39" s="2">
        <v>2015</v>
      </c>
      <c r="C39" s="2" t="s">
        <v>45</v>
      </c>
      <c r="D39" s="3">
        <v>42339</v>
      </c>
      <c r="E39" s="2" t="str">
        <f t="shared" si="0"/>
        <v>Pre-Covid</v>
      </c>
      <c r="F39" s="9">
        <v>131.4</v>
      </c>
      <c r="G39" s="9">
        <v>121.4</v>
      </c>
      <c r="H39" s="9">
        <f>AVERAGE(' Broder Category Data '!M39,' Broder Category Data '!N39,' Broder Category Data '!O39,' Broder Category Data '!Q39)</f>
        <v>120.52500000000001</v>
      </c>
      <c r="I39" s="9">
        <v>126.1</v>
      </c>
    </row>
    <row r="40" spans="1:9" ht="14.4" x14ac:dyDescent="0.3">
      <c r="A40" s="2" t="s">
        <v>34</v>
      </c>
      <c r="B40" s="2">
        <v>2016</v>
      </c>
      <c r="C40" s="2" t="s">
        <v>31</v>
      </c>
      <c r="D40" s="3">
        <v>42370</v>
      </c>
      <c r="E40" s="2" t="str">
        <f t="shared" si="0"/>
        <v>Pre-Covid</v>
      </c>
      <c r="F40" s="9">
        <v>131.30000000000001</v>
      </c>
      <c r="G40" s="9">
        <v>122</v>
      </c>
      <c r="H40" s="9">
        <f>AVERAGE(' Broder Category Data '!M40,' Broder Category Data '!N40,' Broder Category Data '!O40,' Broder Category Data '!Q40)</f>
        <v>120.875</v>
      </c>
      <c r="I40" s="9">
        <v>126.3</v>
      </c>
    </row>
    <row r="41" spans="1:9" ht="14.4" x14ac:dyDescent="0.3">
      <c r="A41" s="2" t="s">
        <v>34</v>
      </c>
      <c r="B41" s="2">
        <v>2016</v>
      </c>
      <c r="C41" s="2" t="s">
        <v>35</v>
      </c>
      <c r="D41" s="3">
        <v>42401</v>
      </c>
      <c r="E41" s="2" t="str">
        <f t="shared" si="0"/>
        <v>Pre-Covid</v>
      </c>
      <c r="F41" s="9">
        <v>129.9</v>
      </c>
      <c r="G41" s="9">
        <v>122.5</v>
      </c>
      <c r="H41" s="9">
        <f>AVERAGE(' Broder Category Data '!M41,' Broder Category Data '!N41,' Broder Category Data '!O41,' Broder Category Data '!Q41)</f>
        <v>121.375</v>
      </c>
      <c r="I41" s="9">
        <v>126</v>
      </c>
    </row>
    <row r="42" spans="1:9" ht="14.4" x14ac:dyDescent="0.3">
      <c r="A42" s="2" t="s">
        <v>34</v>
      </c>
      <c r="B42" s="2">
        <v>2016</v>
      </c>
      <c r="C42" s="2" t="s">
        <v>36</v>
      </c>
      <c r="D42" s="3">
        <v>42430</v>
      </c>
      <c r="E42" s="2" t="str">
        <f t="shared" si="0"/>
        <v>Pre-Covid</v>
      </c>
      <c r="F42" s="9">
        <v>129.80000000000001</v>
      </c>
      <c r="G42" s="9">
        <v>122.9</v>
      </c>
      <c r="H42" s="9">
        <f>AVERAGE(' Broder Category Data '!M42,' Broder Category Data '!N42,' Broder Category Data '!O42,' Broder Category Data '!Q42)</f>
        <v>121.27500000000001</v>
      </c>
      <c r="I42" s="9">
        <v>126</v>
      </c>
    </row>
    <row r="43" spans="1:9" ht="14.4" x14ac:dyDescent="0.3">
      <c r="A43" s="2" t="s">
        <v>34</v>
      </c>
      <c r="B43" s="2">
        <v>2016</v>
      </c>
      <c r="C43" s="2" t="s">
        <v>37</v>
      </c>
      <c r="D43" s="3">
        <v>42461</v>
      </c>
      <c r="E43" s="2" t="str">
        <f t="shared" si="0"/>
        <v>Pre-Covid</v>
      </c>
      <c r="F43" s="9">
        <v>131.80000000000001</v>
      </c>
      <c r="G43" s="9">
        <v>123.2</v>
      </c>
      <c r="H43" s="9">
        <f>AVERAGE(' Broder Category Data '!M43,' Broder Category Data '!N43,' Broder Category Data '!O43,' Broder Category Data '!Q43)</f>
        <v>121.92499999999998</v>
      </c>
      <c r="I43" s="9">
        <v>127.3</v>
      </c>
    </row>
    <row r="44" spans="1:9" ht="14.4" x14ac:dyDescent="0.3">
      <c r="A44" s="2" t="s">
        <v>34</v>
      </c>
      <c r="B44" s="2">
        <v>2016</v>
      </c>
      <c r="C44" s="2" t="s">
        <v>38</v>
      </c>
      <c r="D44" s="3">
        <v>42491</v>
      </c>
      <c r="E44" s="2" t="str">
        <f t="shared" si="0"/>
        <v>Pre-Covid</v>
      </c>
      <c r="F44" s="9">
        <v>134</v>
      </c>
      <c r="G44" s="9">
        <v>123.7</v>
      </c>
      <c r="H44" s="9">
        <f>AVERAGE(' Broder Category Data '!M44,' Broder Category Data '!N44,' Broder Category Data '!O44,' Broder Category Data '!Q44)</f>
        <v>122.5</v>
      </c>
      <c r="I44" s="9">
        <v>128.6</v>
      </c>
    </row>
    <row r="45" spans="1:9" ht="14.4" x14ac:dyDescent="0.3">
      <c r="A45" s="2" t="s">
        <v>34</v>
      </c>
      <c r="B45" s="2">
        <v>2016</v>
      </c>
      <c r="C45" s="2" t="s">
        <v>39</v>
      </c>
      <c r="D45" s="3">
        <v>42522</v>
      </c>
      <c r="E45" s="2" t="str">
        <f t="shared" si="0"/>
        <v>Pre-Covid</v>
      </c>
      <c r="F45" s="9">
        <v>136.80000000000001</v>
      </c>
      <c r="G45" s="9">
        <v>124.1</v>
      </c>
      <c r="H45" s="9">
        <f>AVERAGE(' Broder Category Data '!M45,' Broder Category Data '!N45,' Broder Category Data '!O45,' Broder Category Data '!Q45)</f>
        <v>123.175</v>
      </c>
      <c r="I45" s="9">
        <v>130.1</v>
      </c>
    </row>
    <row r="46" spans="1:9" ht="14.4" x14ac:dyDescent="0.3">
      <c r="A46" s="2" t="s">
        <v>34</v>
      </c>
      <c r="B46" s="2">
        <v>2016</v>
      </c>
      <c r="C46" s="2" t="s">
        <v>40</v>
      </c>
      <c r="D46" s="3">
        <v>42552</v>
      </c>
      <c r="E46" s="2" t="str">
        <f t="shared" si="0"/>
        <v>Pre-Covid</v>
      </c>
      <c r="F46" s="9">
        <v>138.4</v>
      </c>
      <c r="G46" s="9">
        <v>124.5</v>
      </c>
      <c r="H46" s="9">
        <f>AVERAGE(' Broder Category Data '!M46,' Broder Category Data '!N46,' Broder Category Data '!O46,' Broder Category Data '!Q46)</f>
        <v>123.625</v>
      </c>
      <c r="I46" s="9">
        <v>131.1</v>
      </c>
    </row>
    <row r="47" spans="1:9" ht="14.4" x14ac:dyDescent="0.3">
      <c r="A47" s="2" t="s">
        <v>34</v>
      </c>
      <c r="B47" s="2">
        <v>2016</v>
      </c>
      <c r="C47" s="2" t="s">
        <v>41</v>
      </c>
      <c r="D47" s="3">
        <v>42583</v>
      </c>
      <c r="E47" s="2" t="str">
        <f t="shared" si="0"/>
        <v>Pre-Covid</v>
      </c>
      <c r="F47" s="9">
        <v>137.9</v>
      </c>
      <c r="G47" s="9">
        <v>124.8</v>
      </c>
      <c r="H47" s="9">
        <f>AVERAGE(' Broder Category Data '!M47,' Broder Category Data '!N47,' Broder Category Data '!O47,' Broder Category Data '!Q47)</f>
        <v>123.92499999999998</v>
      </c>
      <c r="I47" s="9">
        <v>131.1</v>
      </c>
    </row>
    <row r="48" spans="1:9" ht="14.4" x14ac:dyDescent="0.3">
      <c r="A48" s="2" t="s">
        <v>34</v>
      </c>
      <c r="B48" s="2">
        <v>2016</v>
      </c>
      <c r="C48" s="2" t="s">
        <v>42</v>
      </c>
      <c r="D48" s="3">
        <v>42614</v>
      </c>
      <c r="E48" s="2" t="str">
        <f t="shared" si="0"/>
        <v>Pre-Covid</v>
      </c>
      <c r="F48" s="9">
        <v>136.6</v>
      </c>
      <c r="G48" s="9">
        <v>125.4</v>
      </c>
      <c r="H48" s="9">
        <f>AVERAGE(' Broder Category Data '!M48,' Broder Category Data '!N48,' Broder Category Data '!O48,' Broder Category Data '!Q48)</f>
        <v>124.52500000000001</v>
      </c>
      <c r="I48" s="9">
        <v>130.9</v>
      </c>
    </row>
    <row r="49" spans="1:9" ht="14.4" x14ac:dyDescent="0.3">
      <c r="A49" s="2" t="s">
        <v>34</v>
      </c>
      <c r="B49" s="2">
        <v>2016</v>
      </c>
      <c r="C49" s="2" t="s">
        <v>43</v>
      </c>
      <c r="D49" s="3">
        <v>42644</v>
      </c>
      <c r="E49" s="2" t="str">
        <f t="shared" si="0"/>
        <v>Pre-Covid</v>
      </c>
      <c r="F49" s="9">
        <v>137</v>
      </c>
      <c r="G49" s="9">
        <v>126.1</v>
      </c>
      <c r="H49" s="9">
        <f>AVERAGE(' Broder Category Data '!M49,' Broder Category Data '!N49,' Broder Category Data '!O49,' Broder Category Data '!Q49)</f>
        <v>125.14999999999999</v>
      </c>
      <c r="I49" s="9">
        <v>131.4</v>
      </c>
    </row>
    <row r="50" spans="1:9" ht="14.4" x14ac:dyDescent="0.3">
      <c r="A50" s="2" t="s">
        <v>34</v>
      </c>
      <c r="B50" s="2">
        <v>2016</v>
      </c>
      <c r="C50" s="2" t="s">
        <v>44</v>
      </c>
      <c r="D50" s="3">
        <v>42675</v>
      </c>
      <c r="E50" s="2" t="str">
        <f t="shared" si="0"/>
        <v>Pre-Covid</v>
      </c>
      <c r="F50" s="9">
        <v>136.1</v>
      </c>
      <c r="G50" s="9">
        <v>126.4</v>
      </c>
      <c r="H50" s="9">
        <f>AVERAGE(' Broder Category Data '!M50,' Broder Category Data '!N50,' Broder Category Data '!O50,' Broder Category Data '!Q50)</f>
        <v>125.64999999999999</v>
      </c>
      <c r="I50" s="9">
        <v>131.19999999999999</v>
      </c>
    </row>
    <row r="51" spans="1:9" ht="14.4" x14ac:dyDescent="0.3">
      <c r="A51" s="2" t="s">
        <v>34</v>
      </c>
      <c r="B51" s="2">
        <v>2016</v>
      </c>
      <c r="C51" s="2" t="s">
        <v>45</v>
      </c>
      <c r="D51" s="3">
        <v>42705</v>
      </c>
      <c r="E51" s="2" t="str">
        <f t="shared" si="0"/>
        <v>Pre-Covid</v>
      </c>
      <c r="F51" s="9">
        <v>134</v>
      </c>
      <c r="G51" s="9">
        <v>126.9</v>
      </c>
      <c r="H51" s="9">
        <f>AVERAGE(' Broder Category Data '!M51,' Broder Category Data '!N51,' Broder Category Data '!O51,' Broder Category Data '!Q51)</f>
        <v>126.05</v>
      </c>
      <c r="I51" s="9">
        <v>130.4</v>
      </c>
    </row>
    <row r="52" spans="1:9" ht="14.4" x14ac:dyDescent="0.3">
      <c r="A52" s="2" t="s">
        <v>34</v>
      </c>
      <c r="B52" s="2">
        <v>2017</v>
      </c>
      <c r="C52" s="2" t="s">
        <v>31</v>
      </c>
      <c r="D52" s="3">
        <v>42736</v>
      </c>
      <c r="E52" s="2" t="str">
        <f t="shared" si="0"/>
        <v>Pre-Covid</v>
      </c>
      <c r="F52" s="9">
        <v>133.1</v>
      </c>
      <c r="G52" s="9">
        <v>127.1</v>
      </c>
      <c r="H52" s="9">
        <f>AVERAGE(' Broder Category Data '!M52,' Broder Category Data '!N52,' Broder Category Data '!O52,' Broder Category Data '!Q52)</f>
        <v>126.675</v>
      </c>
      <c r="I52" s="9">
        <v>130.30000000000001</v>
      </c>
    </row>
    <row r="53" spans="1:9" ht="14.4" x14ac:dyDescent="0.3">
      <c r="A53" s="2" t="s">
        <v>34</v>
      </c>
      <c r="B53" s="2">
        <v>2017</v>
      </c>
      <c r="C53" s="2" t="s">
        <v>35</v>
      </c>
      <c r="D53" s="3">
        <v>42767</v>
      </c>
      <c r="E53" s="2" t="str">
        <f t="shared" si="0"/>
        <v>Pre-Covid</v>
      </c>
      <c r="F53" s="9">
        <v>133</v>
      </c>
      <c r="G53" s="9">
        <v>127.4</v>
      </c>
      <c r="H53" s="9">
        <f>AVERAGE(' Broder Category Data '!M53,' Broder Category Data '!N53,' Broder Category Data '!O53,' Broder Category Data '!Q53)</f>
        <v>127.29999999999998</v>
      </c>
      <c r="I53" s="9">
        <v>130.6</v>
      </c>
    </row>
    <row r="54" spans="1:9" ht="14.4" x14ac:dyDescent="0.3">
      <c r="A54" s="2" t="s">
        <v>34</v>
      </c>
      <c r="B54" s="2">
        <v>2017</v>
      </c>
      <c r="C54" s="2" t="s">
        <v>36</v>
      </c>
      <c r="D54" s="3">
        <v>42795</v>
      </c>
      <c r="E54" s="2" t="str">
        <f t="shared" si="0"/>
        <v>Pre-Covid</v>
      </c>
      <c r="F54" s="9">
        <v>133.1</v>
      </c>
      <c r="G54" s="9">
        <v>127.8</v>
      </c>
      <c r="H54" s="9">
        <f>AVERAGE(' Broder Category Data '!M54,' Broder Category Data '!N54,' Broder Category Data '!O54,' Broder Category Data '!Q54)</f>
        <v>127.9</v>
      </c>
      <c r="I54" s="9">
        <v>130.9</v>
      </c>
    </row>
    <row r="55" spans="1:9" ht="14.4" x14ac:dyDescent="0.3">
      <c r="A55" s="2" t="s">
        <v>34</v>
      </c>
      <c r="B55" s="2">
        <v>2017</v>
      </c>
      <c r="C55" s="2" t="s">
        <v>37</v>
      </c>
      <c r="D55" s="3">
        <v>42826</v>
      </c>
      <c r="E55" s="2" t="str">
        <f t="shared" si="0"/>
        <v>Pre-Covid</v>
      </c>
      <c r="F55" s="9">
        <v>133.5</v>
      </c>
      <c r="G55" s="9">
        <v>128.1</v>
      </c>
      <c r="H55" s="9">
        <f>AVERAGE(' Broder Category Data '!M55,' Broder Category Data '!N55,' Broder Category Data '!O55,' Broder Category Data '!Q55)</f>
        <v>128.15</v>
      </c>
      <c r="I55" s="9">
        <v>131.1</v>
      </c>
    </row>
    <row r="56" spans="1:9" ht="14.4" x14ac:dyDescent="0.3">
      <c r="A56" s="2" t="s">
        <v>34</v>
      </c>
      <c r="B56" s="2">
        <v>2017</v>
      </c>
      <c r="C56" s="2" t="s">
        <v>38</v>
      </c>
      <c r="D56" s="3">
        <v>42856</v>
      </c>
      <c r="E56" s="2" t="str">
        <f t="shared" si="0"/>
        <v>Pre-Covid</v>
      </c>
      <c r="F56" s="9">
        <v>133.69999999999999</v>
      </c>
      <c r="G56" s="9">
        <v>128.4</v>
      </c>
      <c r="H56" s="9">
        <f>AVERAGE(' Broder Category Data '!M56,' Broder Category Data '!N56,' Broder Category Data '!O56,' Broder Category Data '!Q56)</f>
        <v>128.25</v>
      </c>
      <c r="I56" s="9">
        <v>131.4</v>
      </c>
    </row>
    <row r="57" spans="1:9" ht="14.4" x14ac:dyDescent="0.3">
      <c r="A57" s="2" t="s">
        <v>34</v>
      </c>
      <c r="B57" s="2">
        <v>2017</v>
      </c>
      <c r="C57" s="2" t="s">
        <v>39</v>
      </c>
      <c r="D57" s="3">
        <v>42887</v>
      </c>
      <c r="E57" s="2" t="str">
        <f t="shared" si="0"/>
        <v>Pre-Covid</v>
      </c>
      <c r="F57" s="9">
        <v>135.19999999999999</v>
      </c>
      <c r="G57" s="9">
        <v>128.5</v>
      </c>
      <c r="H57" s="9">
        <f>AVERAGE(' Broder Category Data '!M57,' Broder Category Data '!N57,' Broder Category Data '!O57,' Broder Category Data '!Q57)</f>
        <v>128.02500000000001</v>
      </c>
      <c r="I57" s="9">
        <v>132</v>
      </c>
    </row>
    <row r="58" spans="1:9" ht="14.4" x14ac:dyDescent="0.3">
      <c r="A58" s="2" t="s">
        <v>34</v>
      </c>
      <c r="B58" s="2">
        <v>2017</v>
      </c>
      <c r="C58" s="2" t="s">
        <v>40</v>
      </c>
      <c r="D58" s="3">
        <v>42917</v>
      </c>
      <c r="E58" s="2" t="str">
        <f t="shared" si="0"/>
        <v>Pre-Covid</v>
      </c>
      <c r="F58" s="9">
        <v>139</v>
      </c>
      <c r="G58" s="9">
        <v>129.4</v>
      </c>
      <c r="H58" s="9">
        <f>AVERAGE(' Broder Category Data '!M58,' Broder Category Data '!N58,' Broder Category Data '!O58,' Broder Category Data '!Q58)</f>
        <v>128.69999999999999</v>
      </c>
      <c r="I58" s="9">
        <v>134.19999999999999</v>
      </c>
    </row>
    <row r="59" spans="1:9" ht="14.4" x14ac:dyDescent="0.3">
      <c r="A59" s="2" t="s">
        <v>34</v>
      </c>
      <c r="B59" s="2">
        <v>2017</v>
      </c>
      <c r="C59" s="2" t="s">
        <v>41</v>
      </c>
      <c r="D59" s="3">
        <v>42948</v>
      </c>
      <c r="E59" s="2" t="str">
        <f t="shared" si="0"/>
        <v>Pre-Covid</v>
      </c>
      <c r="F59" s="9">
        <v>140.6</v>
      </c>
      <c r="G59" s="9">
        <v>130.19999999999999</v>
      </c>
      <c r="H59" s="9">
        <f>AVERAGE(' Broder Category Data '!M59,' Broder Category Data '!N59,' Broder Category Data '!O59,' Broder Category Data '!Q59)</f>
        <v>129.77500000000001</v>
      </c>
      <c r="I59" s="9">
        <v>135.4</v>
      </c>
    </row>
    <row r="60" spans="1:9" ht="14.4" x14ac:dyDescent="0.3">
      <c r="A60" s="2" t="s">
        <v>34</v>
      </c>
      <c r="B60" s="2">
        <v>2017</v>
      </c>
      <c r="C60" s="2" t="s">
        <v>42</v>
      </c>
      <c r="D60" s="3">
        <v>42979</v>
      </c>
      <c r="E60" s="2" t="str">
        <f t="shared" si="0"/>
        <v>Pre-Covid</v>
      </c>
      <c r="F60" s="9">
        <v>139</v>
      </c>
      <c r="G60" s="9">
        <v>130.6</v>
      </c>
      <c r="H60" s="9">
        <f>AVERAGE(' Broder Category Data '!M60,' Broder Category Data '!N60,' Broder Category Data '!O60,' Broder Category Data '!Q60)</f>
        <v>130.6</v>
      </c>
      <c r="I60" s="9">
        <v>135.19999999999999</v>
      </c>
    </row>
    <row r="61" spans="1:9" ht="14.4" x14ac:dyDescent="0.3">
      <c r="A61" s="2" t="s">
        <v>34</v>
      </c>
      <c r="B61" s="2">
        <v>2017</v>
      </c>
      <c r="C61" s="2" t="s">
        <v>43</v>
      </c>
      <c r="D61" s="3">
        <v>43009</v>
      </c>
      <c r="E61" s="2" t="str">
        <f t="shared" si="0"/>
        <v>Pre-Covid</v>
      </c>
      <c r="F61" s="9">
        <v>140.1</v>
      </c>
      <c r="G61" s="9">
        <v>131.30000000000001</v>
      </c>
      <c r="H61" s="9">
        <f>AVERAGE(' Broder Category Data '!M61,' Broder Category Data '!N61,' Broder Category Data '!O61,' Broder Category Data '!Q61)</f>
        <v>131.29999999999998</v>
      </c>
      <c r="I61" s="9">
        <v>136.1</v>
      </c>
    </row>
    <row r="62" spans="1:9" ht="14.4" x14ac:dyDescent="0.3">
      <c r="A62" s="2" t="s">
        <v>34</v>
      </c>
      <c r="B62" s="2">
        <v>2017</v>
      </c>
      <c r="C62" s="2" t="s">
        <v>44</v>
      </c>
      <c r="D62" s="3">
        <v>43040</v>
      </c>
      <c r="E62" s="2" t="str">
        <f t="shared" si="0"/>
        <v>Pre-Covid</v>
      </c>
      <c r="F62" s="9">
        <v>142.1</v>
      </c>
      <c r="G62" s="9">
        <v>132.6</v>
      </c>
      <c r="H62" s="9">
        <f>AVERAGE(' Broder Category Data '!M62,' Broder Category Data '!N62,' Broder Category Data '!O62,' Broder Category Data '!Q62)</f>
        <v>132.69999999999999</v>
      </c>
      <c r="I62" s="9">
        <v>137.6</v>
      </c>
    </row>
    <row r="63" spans="1:9" ht="14.4" x14ac:dyDescent="0.3">
      <c r="A63" s="2" t="s">
        <v>34</v>
      </c>
      <c r="B63" s="2">
        <v>2017</v>
      </c>
      <c r="C63" s="2" t="s">
        <v>45</v>
      </c>
      <c r="D63" s="3">
        <v>43070</v>
      </c>
      <c r="E63" s="2" t="str">
        <f t="shared" si="0"/>
        <v>Pre-Covid</v>
      </c>
      <c r="F63" s="9">
        <v>140.5</v>
      </c>
      <c r="G63" s="9">
        <v>133.1</v>
      </c>
      <c r="H63" s="9">
        <f>AVERAGE(' Broder Category Data '!M63,' Broder Category Data '!N63,' Broder Category Data '!O63,' Broder Category Data '!Q63)</f>
        <v>133.17500000000001</v>
      </c>
      <c r="I63" s="9">
        <v>137.19999999999999</v>
      </c>
    </row>
    <row r="64" spans="1:9" ht="14.4" x14ac:dyDescent="0.3">
      <c r="A64" s="2" t="s">
        <v>34</v>
      </c>
      <c r="B64" s="2">
        <v>2018</v>
      </c>
      <c r="C64" s="2" t="s">
        <v>31</v>
      </c>
      <c r="D64" s="3">
        <v>43101</v>
      </c>
      <c r="E64" s="2" t="str">
        <f t="shared" si="0"/>
        <v>Pre-Covid</v>
      </c>
      <c r="F64" s="9">
        <v>139.19999999999999</v>
      </c>
      <c r="G64" s="9">
        <v>133.30000000000001</v>
      </c>
      <c r="H64" s="9">
        <f>AVERAGE(' Broder Category Data '!M64,' Broder Category Data '!N64,' Broder Category Data '!O64,' Broder Category Data '!Q64)</f>
        <v>133.82499999999999</v>
      </c>
      <c r="I64" s="9">
        <v>136.9</v>
      </c>
    </row>
    <row r="65" spans="1:9" ht="14.4" x14ac:dyDescent="0.3">
      <c r="A65" s="2" t="s">
        <v>34</v>
      </c>
      <c r="B65" s="2">
        <v>2018</v>
      </c>
      <c r="C65" s="2" t="s">
        <v>35</v>
      </c>
      <c r="D65" s="3">
        <v>43132</v>
      </c>
      <c r="E65" s="2" t="str">
        <f t="shared" si="0"/>
        <v>Pre-Covid</v>
      </c>
      <c r="F65" s="9">
        <v>137.6</v>
      </c>
      <c r="G65" s="9">
        <v>133.80000000000001</v>
      </c>
      <c r="H65" s="9">
        <f>AVERAGE(' Broder Category Data '!M65,' Broder Category Data '!N65,' Broder Category Data '!O65,' Broder Category Data '!Q65)</f>
        <v>134.30000000000001</v>
      </c>
      <c r="I65" s="9">
        <v>136.4</v>
      </c>
    </row>
    <row r="66" spans="1:9" ht="14.4" x14ac:dyDescent="0.3">
      <c r="A66" s="2" t="s">
        <v>34</v>
      </c>
      <c r="B66" s="2">
        <v>2018</v>
      </c>
      <c r="C66" s="2" t="s">
        <v>36</v>
      </c>
      <c r="D66" s="3">
        <v>43160</v>
      </c>
      <c r="E66" s="2" t="str">
        <f t="shared" si="0"/>
        <v>Pre-Covid</v>
      </c>
      <c r="F66" s="9">
        <v>137.19999999999999</v>
      </c>
      <c r="G66" s="9">
        <v>134.30000000000001</v>
      </c>
      <c r="H66" s="9">
        <f>AVERAGE(' Broder Category Data '!M66,' Broder Category Data '!N66,' Broder Category Data '!O66,' Broder Category Data '!Q66)</f>
        <v>134.82499999999999</v>
      </c>
      <c r="I66" s="9">
        <v>136.5</v>
      </c>
    </row>
    <row r="67" spans="1:9" ht="14.4" x14ac:dyDescent="0.3">
      <c r="A67" s="2" t="s">
        <v>34</v>
      </c>
      <c r="B67" s="2">
        <v>2018</v>
      </c>
      <c r="C67" s="2" t="s">
        <v>37</v>
      </c>
      <c r="D67" s="3">
        <v>43191</v>
      </c>
      <c r="E67" s="2" t="str">
        <f t="shared" si="0"/>
        <v>Pre-Covid</v>
      </c>
      <c r="F67" s="9">
        <v>137.5</v>
      </c>
      <c r="G67" s="9">
        <v>135.19999999999999</v>
      </c>
      <c r="H67" s="9">
        <f>AVERAGE(' Broder Category Data '!M67,' Broder Category Data '!N67,' Broder Category Data '!O67,' Broder Category Data '!Q67)</f>
        <v>135.67499999999998</v>
      </c>
      <c r="I67" s="9">
        <v>137.1</v>
      </c>
    </row>
    <row r="68" spans="1:9" ht="14.4" x14ac:dyDescent="0.3">
      <c r="A68" s="2" t="s">
        <v>34</v>
      </c>
      <c r="B68" s="2">
        <v>2018</v>
      </c>
      <c r="C68" s="2" t="s">
        <v>38</v>
      </c>
      <c r="D68" s="3">
        <v>43221</v>
      </c>
      <c r="E68" s="2" t="str">
        <f t="shared" ref="E68:E127" si="1">IF(D68&lt;DATE(2020,3,1),"Pre-Covid","Post-Covid")</f>
        <v>Pre-Covid</v>
      </c>
      <c r="F68" s="9">
        <v>138.1</v>
      </c>
      <c r="G68" s="9">
        <v>136</v>
      </c>
      <c r="H68" s="9">
        <f>AVERAGE(' Broder Category Data '!M68,' Broder Category Data '!N68,' Broder Category Data '!O68,' Broder Category Data '!Q68)</f>
        <v>136.27500000000001</v>
      </c>
      <c r="I68" s="9">
        <v>137.80000000000001</v>
      </c>
    </row>
    <row r="69" spans="1:9" ht="14.4" x14ac:dyDescent="0.3">
      <c r="A69" s="2" t="s">
        <v>34</v>
      </c>
      <c r="B69" s="2">
        <v>2018</v>
      </c>
      <c r="C69" s="2" t="s">
        <v>39</v>
      </c>
      <c r="D69" s="3">
        <v>43252</v>
      </c>
      <c r="E69" s="2" t="str">
        <f t="shared" si="1"/>
        <v>Pre-Covid</v>
      </c>
      <c r="F69" s="9">
        <v>139.4</v>
      </c>
      <c r="G69" s="9">
        <v>136.19999999999999</v>
      </c>
      <c r="H69" s="9">
        <f>AVERAGE(' Broder Category Data '!M69,' Broder Category Data '!N69,' Broder Category Data '!O69,' Broder Category Data '!Q69)</f>
        <v>136.77500000000001</v>
      </c>
      <c r="I69" s="9">
        <v>138.5</v>
      </c>
    </row>
    <row r="70" spans="1:9" ht="14.4" x14ac:dyDescent="0.3">
      <c r="A70" s="2" t="s">
        <v>34</v>
      </c>
      <c r="B70" s="2">
        <v>2018</v>
      </c>
      <c r="C70" s="2" t="s">
        <v>40</v>
      </c>
      <c r="D70" s="3">
        <v>43282</v>
      </c>
      <c r="E70" s="2" t="str">
        <f t="shared" si="1"/>
        <v>Pre-Covid</v>
      </c>
      <c r="F70" s="9">
        <v>141.4</v>
      </c>
      <c r="G70" s="9">
        <v>137</v>
      </c>
      <c r="H70" s="9">
        <f>AVERAGE(' Broder Category Data '!M70,' Broder Category Data '!N70,' Broder Category Data '!O70,' Broder Category Data '!Q70)</f>
        <v>137.89999999999998</v>
      </c>
      <c r="I70" s="9">
        <v>139.80000000000001</v>
      </c>
    </row>
    <row r="71" spans="1:9" ht="14.4" x14ac:dyDescent="0.3">
      <c r="A71" s="2" t="s">
        <v>34</v>
      </c>
      <c r="B71" s="2">
        <v>2018</v>
      </c>
      <c r="C71" s="2" t="s">
        <v>41</v>
      </c>
      <c r="D71" s="3">
        <v>43313</v>
      </c>
      <c r="E71" s="2" t="str">
        <f t="shared" si="1"/>
        <v>Pre-Covid</v>
      </c>
      <c r="F71" s="9">
        <v>141.69999999999999</v>
      </c>
      <c r="G71" s="9">
        <v>137.69999999999999</v>
      </c>
      <c r="H71" s="9">
        <f>AVERAGE(' Broder Category Data '!M71,' Broder Category Data '!N71,' Broder Category Data '!O71,' Broder Category Data '!Q71)</f>
        <v>138.94999999999999</v>
      </c>
      <c r="I71" s="9">
        <v>140.4</v>
      </c>
    </row>
    <row r="72" spans="1:9" ht="14.4" x14ac:dyDescent="0.3">
      <c r="A72" s="2" t="s">
        <v>34</v>
      </c>
      <c r="B72" s="2">
        <v>2018</v>
      </c>
      <c r="C72" s="2" t="s">
        <v>42</v>
      </c>
      <c r="D72" s="3">
        <v>43344</v>
      </c>
      <c r="E72" s="2" t="str">
        <f t="shared" si="1"/>
        <v>Pre-Covid</v>
      </c>
      <c r="F72" s="9">
        <v>140.4</v>
      </c>
      <c r="G72" s="9">
        <v>138.4</v>
      </c>
      <c r="H72" s="9">
        <f>AVERAGE(' Broder Category Data '!M72,' Broder Category Data '!N72,' Broder Category Data '!O72,' Broder Category Data '!Q72)</f>
        <v>139.94999999999999</v>
      </c>
      <c r="I72" s="9">
        <v>140.19999999999999</v>
      </c>
    </row>
    <row r="73" spans="1:9" ht="14.4" x14ac:dyDescent="0.3">
      <c r="A73" s="2" t="s">
        <v>34</v>
      </c>
      <c r="B73" s="2">
        <v>2018</v>
      </c>
      <c r="C73" s="2" t="s">
        <v>43</v>
      </c>
      <c r="D73" s="3">
        <v>43374</v>
      </c>
      <c r="E73" s="2" t="str">
        <f t="shared" si="1"/>
        <v>Pre-Covid</v>
      </c>
      <c r="F73" s="9">
        <v>139.69999999999999</v>
      </c>
      <c r="G73" s="9">
        <v>142.1</v>
      </c>
      <c r="H73" s="9">
        <f>AVERAGE(' Broder Category Data '!M73,' Broder Category Data '!N73,' Broder Category Data '!O73,' Broder Category Data '!Q73)</f>
        <v>141.375</v>
      </c>
      <c r="I73" s="9">
        <v>140.80000000000001</v>
      </c>
    </row>
    <row r="74" spans="1:9" ht="14.4" x14ac:dyDescent="0.3">
      <c r="A74" s="2" t="s">
        <v>34</v>
      </c>
      <c r="B74" s="2">
        <v>2018</v>
      </c>
      <c r="C74" s="2" t="s">
        <v>44</v>
      </c>
      <c r="D74" s="3">
        <v>43405</v>
      </c>
      <c r="E74" s="2" t="str">
        <f t="shared" si="1"/>
        <v>Pre-Covid</v>
      </c>
      <c r="F74" s="9">
        <v>139.69999999999999</v>
      </c>
      <c r="G74" s="9">
        <v>142.1</v>
      </c>
      <c r="H74" s="9">
        <f>AVERAGE(' Broder Category Data '!M74,' Broder Category Data '!N74,' Broder Category Data '!O74,' Broder Category Data '!Q74)</f>
        <v>141.32499999999999</v>
      </c>
      <c r="I74" s="9">
        <v>140.80000000000001</v>
      </c>
    </row>
    <row r="75" spans="1:9" ht="14.4" x14ac:dyDescent="0.3">
      <c r="A75" s="2" t="s">
        <v>34</v>
      </c>
      <c r="B75" s="2">
        <v>2018</v>
      </c>
      <c r="C75" s="2" t="s">
        <v>45</v>
      </c>
      <c r="D75" s="3">
        <v>43435</v>
      </c>
      <c r="E75" s="2" t="str">
        <f t="shared" si="1"/>
        <v>Pre-Covid</v>
      </c>
      <c r="F75" s="9">
        <v>138.19999999999999</v>
      </c>
      <c r="G75" s="9">
        <v>144.9</v>
      </c>
      <c r="H75" s="9">
        <f>AVERAGE(' Broder Category Data '!M75,' Broder Category Data '!N75,' Broder Category Data '!O75,' Broder Category Data '!Q75)</f>
        <v>140.72499999999999</v>
      </c>
      <c r="I75" s="9">
        <v>140.1</v>
      </c>
    </row>
    <row r="76" spans="1:9" ht="14.4" x14ac:dyDescent="0.3">
      <c r="A76" s="2" t="s">
        <v>34</v>
      </c>
      <c r="B76" s="2">
        <v>2019</v>
      </c>
      <c r="C76" s="2" t="s">
        <v>31</v>
      </c>
      <c r="D76" s="3">
        <v>43466</v>
      </c>
      <c r="E76" s="2" t="str">
        <f t="shared" si="1"/>
        <v>Pre-Covid</v>
      </c>
      <c r="F76" s="9">
        <v>137.4</v>
      </c>
      <c r="G76" s="9">
        <v>145.1</v>
      </c>
      <c r="H76" s="9">
        <f>AVERAGE(' Broder Category Data '!M76,' Broder Category Data '!N76,' Broder Category Data '!O76,' Broder Category Data '!Q76)</f>
        <v>140.17499999999998</v>
      </c>
      <c r="I76" s="9">
        <v>139.6</v>
      </c>
    </row>
    <row r="77" spans="1:9" ht="14.4" x14ac:dyDescent="0.3">
      <c r="A77" s="2" t="s">
        <v>34</v>
      </c>
      <c r="B77" s="2">
        <v>2019</v>
      </c>
      <c r="C77" s="2" t="s">
        <v>35</v>
      </c>
      <c r="D77" s="3">
        <v>43497</v>
      </c>
      <c r="E77" s="2" t="str">
        <f t="shared" si="1"/>
        <v>Pre-Covid</v>
      </c>
      <c r="F77" s="9">
        <v>137.5</v>
      </c>
      <c r="G77" s="9">
        <v>145.6</v>
      </c>
      <c r="H77" s="9">
        <f>AVERAGE(' Broder Category Data '!M77,' Broder Category Data '!N77,' Broder Category Data '!O77,' Broder Category Data '!Q77)</f>
        <v>140.27500000000001</v>
      </c>
      <c r="I77" s="9">
        <v>139.9</v>
      </c>
    </row>
    <row r="78" spans="1:9" ht="14.4" x14ac:dyDescent="0.3">
      <c r="A78" s="2" t="s">
        <v>34</v>
      </c>
      <c r="B78" s="2">
        <v>2019</v>
      </c>
      <c r="C78" s="2" t="s">
        <v>36</v>
      </c>
      <c r="D78" s="3">
        <v>43525</v>
      </c>
      <c r="E78" s="2" t="str">
        <f t="shared" si="1"/>
        <v>Pre-Covid</v>
      </c>
      <c r="F78" s="9">
        <v>138.1</v>
      </c>
      <c r="G78" s="9">
        <v>146.19999999999999</v>
      </c>
      <c r="H78" s="9">
        <f>AVERAGE(' Broder Category Data '!M78,' Broder Category Data '!N78,' Broder Category Data '!O78,' Broder Category Data '!Q78)</f>
        <v>140.9</v>
      </c>
      <c r="I78" s="9">
        <v>140.4</v>
      </c>
    </row>
    <row r="79" spans="1:9" ht="14.4" x14ac:dyDescent="0.3">
      <c r="A79" s="2" t="s">
        <v>34</v>
      </c>
      <c r="B79" s="2">
        <v>2019</v>
      </c>
      <c r="C79" s="2" t="s">
        <v>38</v>
      </c>
      <c r="D79" s="3">
        <v>43556</v>
      </c>
      <c r="E79" s="2" t="str">
        <f t="shared" si="1"/>
        <v>Pre-Covid</v>
      </c>
      <c r="F79" s="9">
        <v>140.9</v>
      </c>
      <c r="G79" s="9">
        <v>146.9</v>
      </c>
      <c r="H79" s="9">
        <f>AVERAGE(' Broder Category Data '!M79,' Broder Category Data '!N79,' Broder Category Data '!O79,' Broder Category Data '!Q79)</f>
        <v>141.72499999999999</v>
      </c>
      <c r="I79" s="9">
        <v>142</v>
      </c>
    </row>
    <row r="80" spans="1:9" ht="14.4" x14ac:dyDescent="0.3">
      <c r="A80" s="2" t="s">
        <v>34</v>
      </c>
      <c r="B80" s="2">
        <v>2019</v>
      </c>
      <c r="C80" s="2" t="s">
        <v>39</v>
      </c>
      <c r="D80" s="3">
        <v>43586</v>
      </c>
      <c r="E80" s="2" t="str">
        <f t="shared" si="1"/>
        <v>Pre-Covid</v>
      </c>
      <c r="F80" s="9">
        <v>142.69999999999999</v>
      </c>
      <c r="G80" s="9">
        <v>147.4</v>
      </c>
      <c r="H80" s="9">
        <f>AVERAGE(' Broder Category Data '!M80,' Broder Category Data '!N80,' Broder Category Data '!O80,' Broder Category Data '!Q80)</f>
        <v>141.92500000000001</v>
      </c>
      <c r="I80" s="9">
        <v>142.9</v>
      </c>
    </row>
    <row r="81" spans="1:9" ht="14.4" x14ac:dyDescent="0.3">
      <c r="A81" s="2" t="s">
        <v>34</v>
      </c>
      <c r="B81" s="2">
        <v>2019</v>
      </c>
      <c r="C81" s="2" t="s">
        <v>40</v>
      </c>
      <c r="D81" s="3">
        <v>43617</v>
      </c>
      <c r="E81" s="2" t="str">
        <f t="shared" si="1"/>
        <v>Pre-Covid</v>
      </c>
      <c r="F81" s="9">
        <v>144.69999999999999</v>
      </c>
      <c r="G81" s="9">
        <v>147.9</v>
      </c>
      <c r="H81" s="9">
        <f>AVERAGE(' Broder Category Data '!M81,' Broder Category Data '!N81,' Broder Category Data '!O81,' Broder Category Data '!Q81)</f>
        <v>142.375</v>
      </c>
      <c r="I81" s="9">
        <v>144.19999999999999</v>
      </c>
    </row>
    <row r="82" spans="1:9" ht="14.4" x14ac:dyDescent="0.3">
      <c r="A82" s="2" t="s">
        <v>34</v>
      </c>
      <c r="B82" s="2">
        <v>2019</v>
      </c>
      <c r="C82" s="2" t="s">
        <v>41</v>
      </c>
      <c r="D82" s="3">
        <v>43647</v>
      </c>
      <c r="E82" s="2" t="str">
        <f t="shared" si="1"/>
        <v>Pre-Covid</v>
      </c>
      <c r="F82" s="9">
        <v>145.9</v>
      </c>
      <c r="G82" s="9">
        <v>148.5</v>
      </c>
      <c r="H82" s="9">
        <f>AVERAGE(' Broder Category Data '!M82,' Broder Category Data '!N82,' Broder Category Data '!O82,' Broder Category Data '!Q82)</f>
        <v>142.69999999999999</v>
      </c>
      <c r="I82" s="9">
        <v>145</v>
      </c>
    </row>
    <row r="83" spans="1:9" ht="14.4" x14ac:dyDescent="0.3">
      <c r="A83" s="2" t="s">
        <v>34</v>
      </c>
      <c r="B83" s="2">
        <v>2019</v>
      </c>
      <c r="C83" s="2" t="s">
        <v>42</v>
      </c>
      <c r="D83" s="3">
        <v>43678</v>
      </c>
      <c r="E83" s="2" t="str">
        <f t="shared" si="1"/>
        <v>Pre-Covid</v>
      </c>
      <c r="F83" s="9">
        <v>147</v>
      </c>
      <c r="G83" s="9">
        <v>149</v>
      </c>
      <c r="H83" s="9">
        <f>AVERAGE(' Broder Category Data '!M83,' Broder Category Data '!N83,' Broder Category Data '!O83,' Broder Category Data '!Q83)</f>
        <v>143.17499999999998</v>
      </c>
      <c r="I83" s="9">
        <v>145.80000000000001</v>
      </c>
    </row>
    <row r="84" spans="1:9" ht="14.4" x14ac:dyDescent="0.3">
      <c r="A84" s="2" t="s">
        <v>34</v>
      </c>
      <c r="B84" s="2">
        <v>2019</v>
      </c>
      <c r="C84" s="2" t="s">
        <v>43</v>
      </c>
      <c r="D84" s="3">
        <v>43709</v>
      </c>
      <c r="E84" s="2" t="str">
        <f t="shared" si="1"/>
        <v>Pre-Covid</v>
      </c>
      <c r="F84" s="9">
        <v>149.6</v>
      </c>
      <c r="G84" s="9">
        <v>149.4</v>
      </c>
      <c r="H84" s="9">
        <f>AVERAGE(' Broder Category Data '!M84,' Broder Category Data '!N84,' Broder Category Data '!O84,' Broder Category Data '!Q84)</f>
        <v>143.82499999999999</v>
      </c>
      <c r="I84" s="9">
        <v>147.19999999999999</v>
      </c>
    </row>
    <row r="85" spans="1:9" ht="14.4" x14ac:dyDescent="0.3">
      <c r="A85" s="2" t="s">
        <v>34</v>
      </c>
      <c r="B85" s="2">
        <v>2019</v>
      </c>
      <c r="C85" s="2" t="s">
        <v>44</v>
      </c>
      <c r="D85" s="3">
        <v>43739</v>
      </c>
      <c r="E85" s="2" t="str">
        <f t="shared" si="1"/>
        <v>Pre-Covid</v>
      </c>
      <c r="F85" s="9">
        <v>151.9</v>
      </c>
      <c r="G85" s="9">
        <v>149.9</v>
      </c>
      <c r="H85" s="9">
        <f>AVERAGE(' Broder Category Data '!M85,' Broder Category Data '!N85,' Broder Category Data '!O85,' Broder Category Data '!Q85)</f>
        <v>144.47499999999999</v>
      </c>
      <c r="I85" s="9">
        <v>148.6</v>
      </c>
    </row>
    <row r="86" spans="1:9" ht="14.4" x14ac:dyDescent="0.3">
      <c r="A86" s="2" t="s">
        <v>34</v>
      </c>
      <c r="B86" s="2">
        <v>2019</v>
      </c>
      <c r="C86" s="2" t="s">
        <v>45</v>
      </c>
      <c r="D86" s="3">
        <v>43770</v>
      </c>
      <c r="E86" s="2" t="str">
        <f t="shared" si="1"/>
        <v>Pre-Covid</v>
      </c>
      <c r="F86" s="9">
        <v>155</v>
      </c>
      <c r="G86" s="9">
        <v>150.4</v>
      </c>
      <c r="H86" s="9">
        <f>AVERAGE(' Broder Category Data '!M86,' Broder Category Data '!N86,' Broder Category Data '!O86,' Broder Category Data '!Q86)</f>
        <v>145.5</v>
      </c>
      <c r="I86" s="9">
        <v>150.4</v>
      </c>
    </row>
    <row r="87" spans="1:9" ht="14.4" x14ac:dyDescent="0.3">
      <c r="A87" s="2" t="s">
        <v>34</v>
      </c>
      <c r="B87" s="2">
        <v>2020</v>
      </c>
      <c r="C87" s="2" t="s">
        <v>31</v>
      </c>
      <c r="D87" s="3">
        <v>43800</v>
      </c>
      <c r="E87" s="2" t="str">
        <f t="shared" si="1"/>
        <v>Pre-Covid</v>
      </c>
      <c r="F87" s="9">
        <v>153.5</v>
      </c>
      <c r="G87" s="9">
        <v>151.19999999999999</v>
      </c>
      <c r="H87" s="9">
        <f>AVERAGE(' Broder Category Data '!M87,' Broder Category Data '!N87,' Broder Category Data '!O87,' Broder Category Data '!Q87)</f>
        <v>146.375</v>
      </c>
      <c r="I87" s="9">
        <v>150.19999999999999</v>
      </c>
    </row>
    <row r="88" spans="1:9" ht="14.4" x14ac:dyDescent="0.3">
      <c r="A88" s="2" t="s">
        <v>34</v>
      </c>
      <c r="B88" s="2">
        <v>2020</v>
      </c>
      <c r="C88" s="2" t="s">
        <v>35</v>
      </c>
      <c r="D88" s="3">
        <v>43831</v>
      </c>
      <c r="E88" s="2" t="str">
        <f t="shared" si="1"/>
        <v>Pre-Covid</v>
      </c>
      <c r="F88" s="9">
        <v>150.5</v>
      </c>
      <c r="G88" s="9">
        <v>151.69999999999999</v>
      </c>
      <c r="H88" s="9">
        <f>AVERAGE(' Broder Category Data '!M88,' Broder Category Data '!N88,' Broder Category Data '!O88,' Broder Category Data '!Q88)</f>
        <v>147.125</v>
      </c>
      <c r="I88" s="9">
        <v>149.1</v>
      </c>
    </row>
    <row r="89" spans="1:9" ht="14.4" x14ac:dyDescent="0.3">
      <c r="A89" s="2" t="s">
        <v>34</v>
      </c>
      <c r="B89" s="2">
        <v>2020</v>
      </c>
      <c r="C89" s="2" t="s">
        <v>36</v>
      </c>
      <c r="D89" s="3">
        <v>43862</v>
      </c>
      <c r="E89" s="2" t="str">
        <f t="shared" si="1"/>
        <v>Pre-Covid</v>
      </c>
      <c r="F89" s="9">
        <v>148.9</v>
      </c>
      <c r="G89" s="9">
        <v>152.30000000000001</v>
      </c>
      <c r="H89" s="9">
        <f>AVERAGE(' Broder Category Data '!M89,' Broder Category Data '!N89,' Broder Category Data '!O89,' Broder Category Data '!Q89)</f>
        <v>147.35</v>
      </c>
      <c r="I89" s="9">
        <v>148.6</v>
      </c>
    </row>
    <row r="90" spans="1:9" ht="14.4" x14ac:dyDescent="0.3">
      <c r="A90" s="2" t="s">
        <v>34</v>
      </c>
      <c r="B90" s="2">
        <v>2020</v>
      </c>
      <c r="C90" s="2" t="s">
        <v>37</v>
      </c>
      <c r="D90" s="3">
        <v>43891</v>
      </c>
      <c r="E90" s="2" t="str">
        <f t="shared" si="1"/>
        <v>Post-Covid</v>
      </c>
      <c r="F90" s="9">
        <v>151.4</v>
      </c>
      <c r="G90" s="9">
        <v>150.69999999999999</v>
      </c>
      <c r="H90" s="9">
        <f>AVERAGE(' Broder Category Data '!M90,' Broder Category Data '!N90,' Broder Category Data '!O90,' Broder Category Data '!Q90)</f>
        <v>141.92540983606557</v>
      </c>
      <c r="I90" s="9">
        <v>139.6295081967213</v>
      </c>
    </row>
    <row r="91" spans="1:9" ht="14.4" x14ac:dyDescent="0.3">
      <c r="A91" s="2" t="s">
        <v>34</v>
      </c>
      <c r="B91" s="2">
        <v>2020</v>
      </c>
      <c r="C91" s="2" t="s">
        <v>38</v>
      </c>
      <c r="D91" s="3">
        <v>43922</v>
      </c>
      <c r="E91" s="2" t="str">
        <f t="shared" si="1"/>
        <v>Post-Covid</v>
      </c>
      <c r="F91" s="9">
        <v>142.32764227642281</v>
      </c>
      <c r="G91" s="9">
        <v>139.02439024390242</v>
      </c>
      <c r="H91" s="9">
        <f>AVERAGE(' Broder Category Data '!M91,' Broder Category Data '!N91,' Broder Category Data '!O91,' Broder Category Data '!Q91)</f>
        <v>139.98211715313877</v>
      </c>
      <c r="I91" s="9">
        <v>139.6295081967213</v>
      </c>
    </row>
    <row r="92" spans="1:9" ht="14.4" x14ac:dyDescent="0.3">
      <c r="A92" s="2" t="s">
        <v>34</v>
      </c>
      <c r="B92" s="2">
        <v>2020</v>
      </c>
      <c r="C92" s="2" t="s">
        <v>39</v>
      </c>
      <c r="D92" s="3">
        <v>43952</v>
      </c>
      <c r="E92" s="2" t="str">
        <f t="shared" si="1"/>
        <v>Post-Covid</v>
      </c>
      <c r="F92" s="9">
        <v>154</v>
      </c>
      <c r="G92" s="9">
        <v>154.4</v>
      </c>
      <c r="H92" s="9">
        <f>AVERAGE(' Broder Category Data '!M92,' Broder Category Data '!N92,' Broder Category Data '!O92,' Broder Category Data '!Q92)</f>
        <v>147</v>
      </c>
      <c r="I92" s="9">
        <v>151.80000000000001</v>
      </c>
    </row>
    <row r="93" spans="1:9" ht="14.4" x14ac:dyDescent="0.3">
      <c r="A93" s="2" t="s">
        <v>34</v>
      </c>
      <c r="B93" s="2">
        <v>2020</v>
      </c>
      <c r="C93" s="2" t="s">
        <v>40</v>
      </c>
      <c r="D93" s="3">
        <v>43983</v>
      </c>
      <c r="E93" s="2" t="str">
        <f t="shared" si="1"/>
        <v>Post-Covid</v>
      </c>
      <c r="F93" s="9">
        <v>154</v>
      </c>
      <c r="G93" s="9">
        <v>154.4</v>
      </c>
      <c r="H93" s="9">
        <f>AVERAGE(' Broder Category Data '!M93,' Broder Category Data '!N93,' Broder Category Data '!O93,' Broder Category Data '!Q93)</f>
        <v>147</v>
      </c>
      <c r="I93" s="9">
        <v>151.80000000000001</v>
      </c>
    </row>
    <row r="94" spans="1:9" ht="14.4" x14ac:dyDescent="0.3">
      <c r="A94" s="2" t="s">
        <v>34</v>
      </c>
      <c r="B94" s="2">
        <v>2020</v>
      </c>
      <c r="C94" s="2" t="s">
        <v>41</v>
      </c>
      <c r="D94" s="3">
        <v>44013</v>
      </c>
      <c r="E94" s="2" t="str">
        <f t="shared" si="1"/>
        <v>Post-Covid</v>
      </c>
      <c r="F94" s="9">
        <v>157</v>
      </c>
      <c r="G94" s="9">
        <v>155</v>
      </c>
      <c r="H94" s="9">
        <f>AVERAGE(' Broder Category Data '!M94,' Broder Category Data '!N94,' Broder Category Data '!O94,' Broder Category Data '!Q94)</f>
        <v>148.875</v>
      </c>
      <c r="I94" s="9">
        <v>153.9</v>
      </c>
    </row>
    <row r="95" spans="1:9" ht="14.4" x14ac:dyDescent="0.3">
      <c r="A95" s="2" t="s">
        <v>34</v>
      </c>
      <c r="B95" s="2">
        <v>2020</v>
      </c>
      <c r="C95" s="2" t="s">
        <v>42</v>
      </c>
      <c r="D95" s="3">
        <v>44044</v>
      </c>
      <c r="E95" s="2" t="str">
        <f t="shared" si="1"/>
        <v>Post-Covid</v>
      </c>
      <c r="F95" s="9">
        <v>158</v>
      </c>
      <c r="G95" s="9">
        <v>155.6</v>
      </c>
      <c r="H95" s="9">
        <f>AVERAGE(' Broder Category Data '!M95,' Broder Category Data '!N95,' Broder Category Data '!O95,' Broder Category Data '!Q95)</f>
        <v>149.07500000000002</v>
      </c>
      <c r="I95" s="9">
        <v>154.69999999999999</v>
      </c>
    </row>
    <row r="96" spans="1:9" ht="14.4" x14ac:dyDescent="0.3">
      <c r="A96" s="2" t="s">
        <v>34</v>
      </c>
      <c r="B96" s="2">
        <v>2020</v>
      </c>
      <c r="C96" s="2" t="s">
        <v>43</v>
      </c>
      <c r="D96" s="3">
        <v>44075</v>
      </c>
      <c r="E96" s="2" t="str">
        <f t="shared" si="1"/>
        <v>Post-Covid</v>
      </c>
      <c r="F96" s="9">
        <v>161.4</v>
      </c>
      <c r="G96" s="9">
        <v>156.30000000000001</v>
      </c>
      <c r="H96" s="9">
        <f>AVERAGE(' Broder Category Data '!M96,' Broder Category Data '!N96,' Broder Category Data '!O96,' Broder Category Data '!Q96)</f>
        <v>149.67500000000001</v>
      </c>
      <c r="I96" s="9">
        <v>156.4</v>
      </c>
    </row>
    <row r="97" spans="1:9" ht="14.4" x14ac:dyDescent="0.3">
      <c r="A97" s="2" t="s">
        <v>34</v>
      </c>
      <c r="B97" s="2">
        <v>2020</v>
      </c>
      <c r="C97" s="2" t="s">
        <v>44</v>
      </c>
      <c r="D97" s="3">
        <v>44105</v>
      </c>
      <c r="E97" s="2" t="str">
        <f t="shared" si="1"/>
        <v>Post-Covid</v>
      </c>
      <c r="F97" s="9">
        <v>164.7</v>
      </c>
      <c r="G97" s="9">
        <v>157.19999999999999</v>
      </c>
      <c r="H97" s="9">
        <f>AVERAGE(' Broder Category Data '!M97,' Broder Category Data '!N97,' Broder Category Data '!O97,' Broder Category Data '!Q97)</f>
        <v>150.15</v>
      </c>
      <c r="I97" s="9">
        <v>158.4</v>
      </c>
    </row>
    <row r="98" spans="1:9" ht="14.4" x14ac:dyDescent="0.3">
      <c r="A98" s="2" t="s">
        <v>34</v>
      </c>
      <c r="B98" s="2">
        <v>2020</v>
      </c>
      <c r="C98" s="2" t="s">
        <v>45</v>
      </c>
      <c r="D98" s="3">
        <v>44136</v>
      </c>
      <c r="E98" s="2" t="str">
        <f t="shared" si="1"/>
        <v>Post-Covid</v>
      </c>
      <c r="F98" s="9">
        <v>165.4</v>
      </c>
      <c r="G98" s="9">
        <v>158.30000000000001</v>
      </c>
      <c r="H98" s="9">
        <f>AVERAGE(' Broder Category Data '!M98,' Broder Category Data '!N98,' Broder Category Data '!O98,' Broder Category Data '!Q98)</f>
        <v>150.77499999999998</v>
      </c>
      <c r="I98" s="9">
        <v>158.9</v>
      </c>
    </row>
    <row r="99" spans="1:9" ht="14.4" x14ac:dyDescent="0.3">
      <c r="A99" s="2" t="s">
        <v>34</v>
      </c>
      <c r="B99" s="2">
        <v>2021</v>
      </c>
      <c r="C99" s="2" t="s">
        <v>31</v>
      </c>
      <c r="D99" s="3">
        <v>44166</v>
      </c>
      <c r="E99" s="2" t="str">
        <f t="shared" si="1"/>
        <v>Post-Covid</v>
      </c>
      <c r="F99" s="9">
        <v>161</v>
      </c>
      <c r="G99" s="9">
        <v>159.30000000000001</v>
      </c>
      <c r="H99" s="9">
        <f>AVERAGE(' Broder Category Data '!M99,' Broder Category Data '!N99,' Broder Category Data '!O99,' Broder Category Data '!Q99)</f>
        <v>151.67500000000001</v>
      </c>
      <c r="I99" s="9">
        <v>157.30000000000001</v>
      </c>
    </row>
    <row r="100" spans="1:9" ht="14.4" x14ac:dyDescent="0.3">
      <c r="A100" s="2" t="s">
        <v>34</v>
      </c>
      <c r="B100" s="2">
        <v>2021</v>
      </c>
      <c r="C100" s="2" t="s">
        <v>35</v>
      </c>
      <c r="D100" s="3">
        <v>44197</v>
      </c>
      <c r="E100" s="2" t="str">
        <f t="shared" si="1"/>
        <v>Post-Covid</v>
      </c>
      <c r="F100" s="9">
        <v>156.9</v>
      </c>
      <c r="G100" s="9">
        <v>161.30000000000001</v>
      </c>
      <c r="H100" s="9">
        <f>AVERAGE(' Broder Category Data '!M100,' Broder Category Data '!N100,' Broder Category Data '!O100,' Broder Category Data '!Q100)</f>
        <v>154.20000000000002</v>
      </c>
      <c r="I100" s="9">
        <v>156.6</v>
      </c>
    </row>
    <row r="101" spans="1:9" ht="14.4" x14ac:dyDescent="0.3">
      <c r="A101" s="2" t="s">
        <v>34</v>
      </c>
      <c r="B101" s="2">
        <v>2021</v>
      </c>
      <c r="C101" s="2" t="s">
        <v>36</v>
      </c>
      <c r="D101" s="3">
        <v>44228</v>
      </c>
      <c r="E101" s="2" t="str">
        <f t="shared" si="1"/>
        <v>Post-Covid</v>
      </c>
      <c r="F101" s="9">
        <v>156.69999999999999</v>
      </c>
      <c r="G101" s="9">
        <v>161.69999999999999</v>
      </c>
      <c r="H101" s="9">
        <f>AVERAGE(' Broder Category Data '!M101,' Broder Category Data '!N101,' Broder Category Data '!O101,' Broder Category Data '!Q101)</f>
        <v>155.44999999999999</v>
      </c>
      <c r="I101" s="9">
        <v>156.80000000000001</v>
      </c>
    </row>
    <row r="102" spans="1:9" ht="14.4" x14ac:dyDescent="0.3">
      <c r="A102" s="2" t="s">
        <v>34</v>
      </c>
      <c r="B102" s="2">
        <v>2021</v>
      </c>
      <c r="C102" s="2" t="s">
        <v>37</v>
      </c>
      <c r="D102" s="3">
        <v>44256</v>
      </c>
      <c r="E102" s="2" t="str">
        <f t="shared" si="1"/>
        <v>Post-Covid</v>
      </c>
      <c r="F102" s="9">
        <v>158</v>
      </c>
      <c r="G102" s="9">
        <v>162.30000000000001</v>
      </c>
      <c r="H102" s="9">
        <f>AVERAGE(' Broder Category Data '!M102,' Broder Category Data '!N102,' Broder Category Data '!O102,' Broder Category Data '!Q102)</f>
        <v>155.97499999999999</v>
      </c>
      <c r="I102" s="9">
        <v>157.80000000000001</v>
      </c>
    </row>
    <row r="103" spans="1:9" ht="14.4" x14ac:dyDescent="0.3">
      <c r="A103" s="2" t="s">
        <v>34</v>
      </c>
      <c r="B103" s="2">
        <v>2021</v>
      </c>
      <c r="C103" s="2" t="s">
        <v>38</v>
      </c>
      <c r="D103" s="3">
        <v>44287</v>
      </c>
      <c r="E103" s="2" t="str">
        <f t="shared" si="1"/>
        <v>Post-Covid</v>
      </c>
      <c r="F103" s="9">
        <v>160.69999999999999</v>
      </c>
      <c r="G103" s="9">
        <v>165.8</v>
      </c>
      <c r="H103" s="9">
        <f>AVERAGE(' Broder Category Data '!M103,' Broder Category Data '!N103,' Broder Category Data '!O103,' Broder Category Data '!Q103)</f>
        <v>157.77500000000001</v>
      </c>
      <c r="I103" s="9">
        <v>160.4</v>
      </c>
    </row>
    <row r="104" spans="1:9" ht="14.4" x14ac:dyDescent="0.3">
      <c r="A104" s="2" t="s">
        <v>34</v>
      </c>
      <c r="B104" s="2">
        <v>2021</v>
      </c>
      <c r="C104" s="2" t="s">
        <v>39</v>
      </c>
      <c r="D104" s="3">
        <v>44317</v>
      </c>
      <c r="E104" s="2" t="str">
        <f t="shared" si="1"/>
        <v>Post-Covid</v>
      </c>
      <c r="F104" s="9">
        <v>162.6</v>
      </c>
      <c r="G104" s="9">
        <v>166.3</v>
      </c>
      <c r="H104" s="9">
        <f>AVERAGE(' Broder Category Data '!M104,' Broder Category Data '!N104,' Broder Category Data '!O104,' Broder Category Data '!Q104)</f>
        <v>158.17500000000001</v>
      </c>
      <c r="I104" s="9">
        <v>161.30000000000001</v>
      </c>
    </row>
    <row r="105" spans="1:9" ht="14.4" x14ac:dyDescent="0.3">
      <c r="A105" s="2" t="s">
        <v>34</v>
      </c>
      <c r="B105" s="2">
        <v>2021</v>
      </c>
      <c r="C105" s="2" t="s">
        <v>40</v>
      </c>
      <c r="D105" s="3">
        <v>44348</v>
      </c>
      <c r="E105" s="2" t="str">
        <f t="shared" si="1"/>
        <v>Post-Covid</v>
      </c>
      <c r="F105" s="9">
        <v>164</v>
      </c>
      <c r="G105" s="9">
        <v>167</v>
      </c>
      <c r="H105" s="9">
        <f>AVERAGE(' Broder Category Data '!M105,' Broder Category Data '!N105,' Broder Category Data '!O105,' Broder Category Data '!Q105)</f>
        <v>159.625</v>
      </c>
      <c r="I105" s="9">
        <v>162.5</v>
      </c>
    </row>
    <row r="106" spans="1:9" ht="14.4" x14ac:dyDescent="0.3">
      <c r="A106" s="2" t="s">
        <v>34</v>
      </c>
      <c r="B106" s="2">
        <v>2021</v>
      </c>
      <c r="C106" s="2" t="s">
        <v>41</v>
      </c>
      <c r="D106" s="3">
        <v>44378</v>
      </c>
      <c r="E106" s="2" t="str">
        <f t="shared" si="1"/>
        <v>Post-Covid</v>
      </c>
      <c r="F106" s="9">
        <v>164</v>
      </c>
      <c r="G106" s="9">
        <v>168.4</v>
      </c>
      <c r="H106" s="9">
        <f>AVERAGE(' Broder Category Data '!M106,' Broder Category Data '!N106,' Broder Category Data '!O106,' Broder Category Data '!Q106)</f>
        <v>160.625</v>
      </c>
      <c r="I106" s="9">
        <v>163.19999999999999</v>
      </c>
    </row>
    <row r="107" spans="1:9" ht="14.4" x14ac:dyDescent="0.3">
      <c r="A107" s="2" t="s">
        <v>34</v>
      </c>
      <c r="B107" s="2">
        <v>2021</v>
      </c>
      <c r="C107" s="2" t="s">
        <v>42</v>
      </c>
      <c r="D107" s="3">
        <v>44409</v>
      </c>
      <c r="E107" s="2" t="str">
        <f t="shared" si="1"/>
        <v>Post-Covid</v>
      </c>
      <c r="F107" s="9">
        <v>164</v>
      </c>
      <c r="G107" s="9">
        <v>168.4</v>
      </c>
      <c r="H107" s="9">
        <f>AVERAGE(' Broder Category Data '!M107,' Broder Category Data '!N107,' Broder Category Data '!O107,' Broder Category Data '!Q107)</f>
        <v>160.6</v>
      </c>
      <c r="I107" s="9">
        <v>163.19999999999999</v>
      </c>
    </row>
    <row r="108" spans="1:9" ht="14.4" x14ac:dyDescent="0.3">
      <c r="A108" s="2" t="s">
        <v>34</v>
      </c>
      <c r="B108" s="2">
        <v>2021</v>
      </c>
      <c r="C108" s="2" t="s">
        <v>43</v>
      </c>
      <c r="D108" s="3">
        <v>44440</v>
      </c>
      <c r="E108" s="2" t="str">
        <f t="shared" si="1"/>
        <v>Post-Covid</v>
      </c>
      <c r="F108" s="9">
        <v>167.7</v>
      </c>
      <c r="G108" s="9">
        <v>169.1</v>
      </c>
      <c r="H108" s="9">
        <f>AVERAGE(' Broder Category Data '!M108,' Broder Category Data '!N108,' Broder Category Data '!O108,' Broder Category Data '!Q108)</f>
        <v>161.84999999999997</v>
      </c>
      <c r="I108" s="9">
        <v>165.5</v>
      </c>
    </row>
    <row r="109" spans="1:9" ht="14.4" x14ac:dyDescent="0.3">
      <c r="A109" s="2" t="s">
        <v>34</v>
      </c>
      <c r="B109" s="2">
        <v>2021</v>
      </c>
      <c r="C109" s="2" t="s">
        <v>44</v>
      </c>
      <c r="D109" s="3">
        <v>44470</v>
      </c>
      <c r="E109" s="2" t="str">
        <f t="shared" si="1"/>
        <v>Post-Covid</v>
      </c>
      <c r="F109" s="9">
        <v>169.7</v>
      </c>
      <c r="G109" s="9">
        <v>169.9</v>
      </c>
      <c r="H109" s="9">
        <f>AVERAGE(' Broder Category Data '!M109,' Broder Category Data '!N109,' Broder Category Data '!O109,' Broder Category Data '!Q109)</f>
        <v>161.80000000000001</v>
      </c>
      <c r="I109" s="9">
        <v>166.7</v>
      </c>
    </row>
    <row r="110" spans="1:9" ht="14.4" x14ac:dyDescent="0.3">
      <c r="A110" s="2" t="s">
        <v>34</v>
      </c>
      <c r="B110" s="2">
        <v>2021</v>
      </c>
      <c r="C110" s="2" t="s">
        <v>45</v>
      </c>
      <c r="D110" s="3">
        <v>44501</v>
      </c>
      <c r="E110" s="2" t="str">
        <f t="shared" si="1"/>
        <v>Post-Covid</v>
      </c>
      <c r="F110" s="9">
        <v>168.2</v>
      </c>
      <c r="G110" s="9">
        <v>170.6</v>
      </c>
      <c r="H110" s="9">
        <f>AVERAGE(' Broder Category Data '!M110,' Broder Category Data '!N110,' Broder Category Data '!O110,' Broder Category Data '!Q110)</f>
        <v>161.89999999999998</v>
      </c>
      <c r="I110" s="9">
        <v>166.2</v>
      </c>
    </row>
    <row r="111" spans="1:9" ht="14.4" x14ac:dyDescent="0.3">
      <c r="A111" s="2" t="s">
        <v>34</v>
      </c>
      <c r="B111" s="2">
        <v>2022</v>
      </c>
      <c r="C111" s="2" t="s">
        <v>31</v>
      </c>
      <c r="D111" s="3">
        <v>44531</v>
      </c>
      <c r="E111" s="2" t="str">
        <f t="shared" si="1"/>
        <v>Post-Covid</v>
      </c>
      <c r="F111" s="9">
        <v>166.4</v>
      </c>
      <c r="G111" s="9">
        <v>171.4</v>
      </c>
      <c r="H111" s="9">
        <f>AVERAGE(' Broder Category Data '!M111,' Broder Category Data '!N111,' Broder Category Data '!O111,' Broder Category Data '!Q111)</f>
        <v>162.47499999999999</v>
      </c>
      <c r="I111" s="9">
        <v>165.7</v>
      </c>
    </row>
    <row r="112" spans="1:9" ht="14.4" x14ac:dyDescent="0.3">
      <c r="A112" s="2" t="s">
        <v>34</v>
      </c>
      <c r="B112" s="2">
        <v>2022</v>
      </c>
      <c r="C112" s="2" t="s">
        <v>35</v>
      </c>
      <c r="D112" s="3">
        <v>44562</v>
      </c>
      <c r="E112" s="2" t="str">
        <f t="shared" si="1"/>
        <v>Post-Covid</v>
      </c>
      <c r="F112" s="9">
        <v>166.2</v>
      </c>
      <c r="G112" s="9">
        <v>172.2</v>
      </c>
      <c r="H112" s="9">
        <f>AVERAGE(' Broder Category Data '!M112,' Broder Category Data '!N112,' Broder Category Data '!O112,' Broder Category Data '!Q112)</f>
        <v>163.375</v>
      </c>
      <c r="I112" s="9">
        <v>166.1</v>
      </c>
    </row>
    <row r="113" spans="1:9" ht="14.4" x14ac:dyDescent="0.3">
      <c r="A113" s="2" t="s">
        <v>34</v>
      </c>
      <c r="B113" s="2">
        <v>2022</v>
      </c>
      <c r="C113" s="2" t="s">
        <v>36</v>
      </c>
      <c r="D113" s="3">
        <v>44593</v>
      </c>
      <c r="E113" s="2" t="str">
        <f t="shared" si="1"/>
        <v>Post-Covid</v>
      </c>
      <c r="F113" s="9">
        <v>168.4</v>
      </c>
      <c r="G113" s="9">
        <v>173</v>
      </c>
      <c r="H113" s="9">
        <f>AVERAGE(' Broder Category Data '!M113,' Broder Category Data '!N113,' Broder Category Data '!O113,' Broder Category Data '!Q113)</f>
        <v>164.1</v>
      </c>
      <c r="I113" s="9">
        <v>167.7</v>
      </c>
    </row>
    <row r="114" spans="1:9" ht="14.4" x14ac:dyDescent="0.3">
      <c r="A114" s="2" t="s">
        <v>34</v>
      </c>
      <c r="B114" s="2">
        <v>2022</v>
      </c>
      <c r="C114" s="2" t="s">
        <v>37</v>
      </c>
      <c r="D114" s="3">
        <v>44621</v>
      </c>
      <c r="E114" s="2" t="str">
        <f t="shared" si="1"/>
        <v>Post-Covid</v>
      </c>
      <c r="F114" s="9">
        <v>170.8</v>
      </c>
      <c r="G114" s="9">
        <v>174</v>
      </c>
      <c r="H114" s="9">
        <f>AVERAGE(' Broder Category Data '!M114,' Broder Category Data '!N114,' Broder Category Data '!O114,' Broder Category Data '!Q114)</f>
        <v>167.17500000000001</v>
      </c>
      <c r="I114" s="9">
        <v>170.1</v>
      </c>
    </row>
    <row r="115" spans="1:9" ht="14.4" x14ac:dyDescent="0.3">
      <c r="A115" s="2" t="s">
        <v>34</v>
      </c>
      <c r="B115" s="2">
        <v>2022</v>
      </c>
      <c r="C115" s="2" t="s">
        <v>38</v>
      </c>
      <c r="D115" s="3">
        <v>44652</v>
      </c>
      <c r="E115" s="2" t="str">
        <f t="shared" si="1"/>
        <v>Post-Covid</v>
      </c>
      <c r="F115" s="9">
        <v>173.3</v>
      </c>
      <c r="G115" s="9">
        <v>174.8</v>
      </c>
      <c r="H115" s="9">
        <f>AVERAGE(' Broder Category Data '!M115,' Broder Category Data '!N115,' Broder Category Data '!O115,' Broder Category Data '!Q115)</f>
        <v>168.25</v>
      </c>
      <c r="I115" s="9">
        <v>171.7</v>
      </c>
    </row>
    <row r="116" spans="1:9" ht="14.4" x14ac:dyDescent="0.3">
      <c r="A116" s="2" t="s">
        <v>34</v>
      </c>
      <c r="B116" s="2">
        <v>2022</v>
      </c>
      <c r="C116" s="2" t="s">
        <v>39</v>
      </c>
      <c r="D116" s="3">
        <v>44682</v>
      </c>
      <c r="E116" s="2" t="str">
        <f t="shared" si="1"/>
        <v>Post-Covid</v>
      </c>
      <c r="F116" s="9">
        <v>174.9</v>
      </c>
      <c r="G116" s="9">
        <v>175.4</v>
      </c>
      <c r="H116" s="9">
        <f>AVERAGE(' Broder Category Data '!M116,' Broder Category Data '!N116,' Broder Category Data '!O116,' Broder Category Data '!Q116)</f>
        <v>168.22499999999999</v>
      </c>
      <c r="I116" s="9">
        <v>172.6</v>
      </c>
    </row>
    <row r="117" spans="1:9" ht="14.4" x14ac:dyDescent="0.3">
      <c r="A117" s="2" t="s">
        <v>34</v>
      </c>
      <c r="B117" s="2">
        <v>2022</v>
      </c>
      <c r="C117" s="2" t="s">
        <v>40</v>
      </c>
      <c r="D117" s="3">
        <v>44713</v>
      </c>
      <c r="E117" s="2" t="str">
        <f t="shared" si="1"/>
        <v>Post-Covid</v>
      </c>
      <c r="F117" s="9">
        <v>175</v>
      </c>
      <c r="G117" s="9">
        <v>176.1</v>
      </c>
      <c r="H117" s="9">
        <f>AVERAGE(' Broder Category Data '!M117,' Broder Category Data '!N117,' Broder Category Data '!O117,' Broder Category Data '!Q117)</f>
        <v>170.1</v>
      </c>
      <c r="I117" s="9">
        <v>173.4</v>
      </c>
    </row>
    <row r="118" spans="1:9" ht="14.4" x14ac:dyDescent="0.3">
      <c r="A118" s="2" t="s">
        <v>34</v>
      </c>
      <c r="B118" s="2">
        <v>2022</v>
      </c>
      <c r="C118" s="2" t="s">
        <v>41</v>
      </c>
      <c r="D118" s="3">
        <v>44743</v>
      </c>
      <c r="E118" s="2" t="str">
        <f t="shared" si="1"/>
        <v>Post-Covid</v>
      </c>
      <c r="F118" s="9">
        <v>176.3</v>
      </c>
      <c r="G118" s="9">
        <v>176.8</v>
      </c>
      <c r="H118" s="9">
        <f>AVERAGE(' Broder Category Data '!M118,' Broder Category Data '!N118,' Broder Category Data '!O118,' Broder Category Data '!Q118)</f>
        <v>170.5</v>
      </c>
      <c r="I118" s="9">
        <v>174.3</v>
      </c>
    </row>
    <row r="119" spans="1:9" ht="14.4" x14ac:dyDescent="0.3">
      <c r="A119" s="2" t="s">
        <v>34</v>
      </c>
      <c r="B119" s="2">
        <v>2022</v>
      </c>
      <c r="C119" s="2" t="s">
        <v>42</v>
      </c>
      <c r="D119" s="3">
        <v>44774</v>
      </c>
      <c r="E119" s="2" t="str">
        <f t="shared" si="1"/>
        <v>Post-Covid</v>
      </c>
      <c r="F119" s="9">
        <v>177.8</v>
      </c>
      <c r="G119" s="9">
        <v>177.8</v>
      </c>
      <c r="H119" s="9">
        <f>AVERAGE(' Broder Category Data '!M119,' Broder Category Data '!N119,' Broder Category Data '!O119,' Broder Category Data '!Q119)</f>
        <v>171.10000000000002</v>
      </c>
      <c r="I119" s="9">
        <v>175.3</v>
      </c>
    </row>
    <row r="120" spans="1:9" ht="14.4" x14ac:dyDescent="0.3">
      <c r="A120" s="2" t="s">
        <v>34</v>
      </c>
      <c r="B120" s="2">
        <v>2022</v>
      </c>
      <c r="C120" s="2" t="s">
        <v>43</v>
      </c>
      <c r="D120" s="3">
        <v>44805</v>
      </c>
      <c r="E120" s="2" t="str">
        <f t="shared" si="1"/>
        <v>Post-Covid</v>
      </c>
      <c r="F120" s="9">
        <v>179.6</v>
      </c>
      <c r="G120" s="9">
        <v>178.7</v>
      </c>
      <c r="H120" s="9">
        <f>AVERAGE(' Broder Category Data '!M120,' Broder Category Data '!N120,' Broder Category Data '!O120,' Broder Category Data '!Q120)</f>
        <v>172</v>
      </c>
      <c r="I120" s="9">
        <v>176.7</v>
      </c>
    </row>
    <row r="121" spans="1:9" ht="14.4" x14ac:dyDescent="0.3">
      <c r="A121" s="2" t="s">
        <v>34</v>
      </c>
      <c r="B121" s="2">
        <v>2022</v>
      </c>
      <c r="C121" s="2" t="s">
        <v>44</v>
      </c>
      <c r="D121" s="3">
        <v>44835</v>
      </c>
      <c r="E121" s="2" t="str">
        <f t="shared" si="1"/>
        <v>Post-Covid</v>
      </c>
      <c r="F121" s="9">
        <v>178.3</v>
      </c>
      <c r="G121" s="9">
        <v>179.8</v>
      </c>
      <c r="H121" s="9">
        <f>AVERAGE(' Broder Category Data '!M121,' Broder Category Data '!N121,' Broder Category Data '!O121,' Broder Category Data '!Q121)</f>
        <v>172.45</v>
      </c>
      <c r="I121" s="9">
        <v>176.5</v>
      </c>
    </row>
    <row r="122" spans="1:9" ht="14.4" x14ac:dyDescent="0.3">
      <c r="A122" s="2" t="s">
        <v>34</v>
      </c>
      <c r="B122" s="2">
        <v>2022</v>
      </c>
      <c r="C122" s="2" t="s">
        <v>45</v>
      </c>
      <c r="D122" s="3">
        <v>44866</v>
      </c>
      <c r="E122" s="2" t="str">
        <f t="shared" si="1"/>
        <v>Post-Covid</v>
      </c>
      <c r="F122" s="9">
        <v>175.9</v>
      </c>
      <c r="G122" s="9">
        <v>181.1</v>
      </c>
      <c r="H122" s="9">
        <f>AVERAGE(' Broder Category Data '!M122,' Broder Category Data '!N122,' Broder Category Data '!O122,' Broder Category Data '!Q122)</f>
        <v>172.54999999999998</v>
      </c>
      <c r="I122" s="9">
        <v>175.7</v>
      </c>
    </row>
    <row r="123" spans="1:9" ht="14.4" x14ac:dyDescent="0.3">
      <c r="A123" s="2" t="s">
        <v>34</v>
      </c>
      <c r="B123" s="2">
        <v>2023</v>
      </c>
      <c r="C123" s="2" t="s">
        <v>31</v>
      </c>
      <c r="D123" s="3">
        <v>44896</v>
      </c>
      <c r="E123" s="2" t="str">
        <f t="shared" si="1"/>
        <v>Post-Covid</v>
      </c>
      <c r="F123" s="9">
        <v>176.7</v>
      </c>
      <c r="G123" s="9">
        <v>182.3</v>
      </c>
      <c r="H123" s="9">
        <f>AVERAGE(' Broder Category Data '!M123,' Broder Category Data '!N123,' Broder Category Data '!O123,' Broder Category Data '!Q123)</f>
        <v>173.00000000000003</v>
      </c>
      <c r="I123" s="9">
        <v>176.5</v>
      </c>
    </row>
    <row r="124" spans="1:9" ht="14.4" x14ac:dyDescent="0.3">
      <c r="A124" s="2" t="s">
        <v>34</v>
      </c>
      <c r="B124" s="2">
        <v>2023</v>
      </c>
      <c r="C124" s="2" t="s">
        <v>35</v>
      </c>
      <c r="D124" s="3">
        <v>44927</v>
      </c>
      <c r="E124" s="2" t="str">
        <f t="shared" si="1"/>
        <v>Post-Covid</v>
      </c>
      <c r="F124" s="9">
        <v>177</v>
      </c>
      <c r="G124" s="9">
        <v>184.4</v>
      </c>
      <c r="H124" s="9">
        <f>AVERAGE(' Broder Category Data '!M124,' Broder Category Data '!N124,' Broder Category Data '!O124,' Broder Category Data '!Q124)</f>
        <v>173.7</v>
      </c>
      <c r="I124" s="9">
        <v>177.2</v>
      </c>
    </row>
    <row r="125" spans="1:9" ht="14.4" x14ac:dyDescent="0.3">
      <c r="A125" s="2" t="s">
        <v>34</v>
      </c>
      <c r="B125" s="2">
        <v>2023</v>
      </c>
      <c r="C125" s="2" t="s">
        <v>36</v>
      </c>
      <c r="D125" s="3">
        <v>44958</v>
      </c>
      <c r="E125" s="2" t="str">
        <f t="shared" si="1"/>
        <v>Post-Covid</v>
      </c>
      <c r="F125" s="9">
        <v>177</v>
      </c>
      <c r="G125" s="9">
        <v>184.4</v>
      </c>
      <c r="H125" s="9">
        <f>AVERAGE(' Broder Category Data '!M125,' Broder Category Data '!N125,' Broder Category Data '!O125,' Broder Category Data '!Q125)</f>
        <v>173.64999999999998</v>
      </c>
      <c r="I125" s="9">
        <v>177.2</v>
      </c>
    </row>
    <row r="126" spans="1:9" ht="14.4" x14ac:dyDescent="0.3">
      <c r="A126" s="2" t="s">
        <v>34</v>
      </c>
      <c r="B126" s="2">
        <v>2023</v>
      </c>
      <c r="C126" s="2" t="s">
        <v>37</v>
      </c>
      <c r="D126" s="3">
        <v>44986</v>
      </c>
      <c r="E126" s="2" t="str">
        <f t="shared" si="1"/>
        <v>Post-Covid</v>
      </c>
      <c r="F126" s="9">
        <v>177.9</v>
      </c>
      <c r="G126" s="9">
        <v>185</v>
      </c>
      <c r="H126" s="9">
        <f>AVERAGE(' Broder Category Data '!M126,' Broder Category Data '!N126,' Broder Category Data '!O126,' Broder Category Data '!Q126)</f>
        <v>174.45</v>
      </c>
      <c r="I126" s="9">
        <v>178.1</v>
      </c>
    </row>
    <row r="127" spans="1:9" ht="14.4" x14ac:dyDescent="0.3">
      <c r="A127" s="2" t="s">
        <v>34</v>
      </c>
      <c r="B127" s="2">
        <v>2023</v>
      </c>
      <c r="C127" s="2" t="s">
        <v>38</v>
      </c>
      <c r="D127" s="3">
        <v>45017</v>
      </c>
      <c r="E127" s="2" t="str">
        <f t="shared" si="1"/>
        <v>Post-Covid</v>
      </c>
      <c r="F127" s="9">
        <v>179.1</v>
      </c>
      <c r="G127" s="9">
        <v>185.7</v>
      </c>
      <c r="H127" s="9">
        <f>AVERAGE(' Broder Category Data '!M127,' Broder Category Data '!N127,' Broder Category Data '!O127,' Broder Category Data '!Q127)</f>
        <v>175.07499999999999</v>
      </c>
      <c r="I127" s="9">
        <v>179.1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E2F5-4ECE-4E76-813A-2CCAAEC1531E}">
  <dimension ref="A1:O115"/>
  <sheetViews>
    <sheetView topLeftCell="A18" zoomScale="93" zoomScaleNormal="80" workbookViewId="0">
      <selection activeCell="J42" sqref="J42"/>
    </sheetView>
  </sheetViews>
  <sheetFormatPr defaultRowHeight="13.8" x14ac:dyDescent="0.25"/>
  <cols>
    <col min="2" max="2" width="18.33203125" bestFit="1" customWidth="1"/>
    <col min="3" max="3" width="11.44140625" bestFit="1" customWidth="1"/>
    <col min="4" max="4" width="15.33203125" bestFit="1" customWidth="1"/>
    <col min="5" max="5" width="18.44140625" bestFit="1" customWidth="1"/>
    <col min="6" max="6" width="11.5546875" bestFit="1" customWidth="1"/>
    <col min="7" max="7" width="15.44140625" bestFit="1" customWidth="1"/>
    <col min="8" max="8" width="8.33203125" bestFit="1" customWidth="1"/>
    <col min="11" max="11" width="17.77734375" customWidth="1"/>
    <col min="12" max="12" width="18.5546875" customWidth="1"/>
    <col min="13" max="14" width="15.21875" bestFit="1" customWidth="1"/>
    <col min="15" max="15" width="11.77734375" customWidth="1"/>
    <col min="16" max="18" width="25.21875" bestFit="1" customWidth="1"/>
    <col min="19" max="19" width="30.5546875" bestFit="1" customWidth="1"/>
    <col min="20" max="20" width="23.6640625" bestFit="1" customWidth="1"/>
    <col min="21" max="21" width="27.5546875" bestFit="1" customWidth="1"/>
    <col min="22" max="23" width="20.44140625" bestFit="1" customWidth="1"/>
  </cols>
  <sheetData>
    <row r="1" spans="1:15" x14ac:dyDescent="0.25">
      <c r="A1" s="16" t="s">
        <v>70</v>
      </c>
      <c r="K1" s="20" t="s">
        <v>76</v>
      </c>
    </row>
    <row r="3" spans="1:15" ht="14.4" x14ac:dyDescent="0.3">
      <c r="A3" s="1" t="s">
        <v>1</v>
      </c>
      <c r="B3" s="1" t="s">
        <v>2</v>
      </c>
      <c r="C3" s="1" t="s">
        <v>48</v>
      </c>
      <c r="D3" s="1" t="s">
        <v>49</v>
      </c>
      <c r="E3" s="17" t="s">
        <v>15</v>
      </c>
      <c r="F3" s="17" t="s">
        <v>69</v>
      </c>
      <c r="G3" s="17" t="s">
        <v>68</v>
      </c>
      <c r="H3" s="17" t="s">
        <v>74</v>
      </c>
      <c r="K3" s="24" t="s">
        <v>75</v>
      </c>
      <c r="L3" s="24">
        <v>2019</v>
      </c>
      <c r="M3" s="24">
        <v>2020</v>
      </c>
      <c r="N3" s="24">
        <v>2021</v>
      </c>
    </row>
    <row r="4" spans="1:15" ht="14.4" x14ac:dyDescent="0.3">
      <c r="A4" s="2">
        <v>2014</v>
      </c>
      <c r="B4" s="2" t="s">
        <v>31</v>
      </c>
      <c r="C4" s="3">
        <v>41640</v>
      </c>
      <c r="D4" s="2" t="str">
        <f t="shared" ref="D4:D55" si="0">IF(C4&lt;DATE(2020,3,1),"Pre-Covid","Post-Covid")</f>
        <v>Pre-Covid</v>
      </c>
      <c r="E4" s="19">
        <f>('Question 4 (Data)'!F16-'Question 4 (Data)'!F4)/'Question 4 (Data)'!F4</f>
        <v>9.6590909090909116E-2</v>
      </c>
      <c r="F4" s="19">
        <f>('Question 4 (Data)'!G16-'Question 4 (Data)'!G4)/'Question 4 (Data)'!G4</f>
        <v>6.0576923076923049E-2</v>
      </c>
      <c r="G4" s="19">
        <f>('Question 4 (Data)'!H16-'Question 4 (Data)'!H4)/'Question 4 (Data)'!H4</f>
        <v>8.1192438196800776E-2</v>
      </c>
      <c r="H4" s="19">
        <f>('Question 4 (Data)'!I16-'Question 4 (Data)'!I4)/'Question 4 (Data)'!I4</f>
        <v>8.6042065009560229E-2</v>
      </c>
      <c r="K4" s="22" t="s">
        <v>15</v>
      </c>
      <c r="L4" s="25">
        <f>AVERAGEIF($A$4:$A$115,L3,$E$4:$E$115)</f>
        <v>3.8233052491726913E-2</v>
      </c>
      <c r="M4" s="25">
        <f t="shared" ref="M4:N4" si="1">AVERAGEIF($A$4:$A$115,M3,$E$4:$E$115)</f>
        <v>7.6667233429964676E-2</v>
      </c>
      <c r="N4" s="25">
        <f t="shared" si="1"/>
        <v>5.0508943725998012E-2</v>
      </c>
    </row>
    <row r="5" spans="1:15" ht="14.4" x14ac:dyDescent="0.3">
      <c r="A5" s="2">
        <v>2014</v>
      </c>
      <c r="B5" s="2" t="s">
        <v>35</v>
      </c>
      <c r="C5" s="3">
        <v>41671</v>
      </c>
      <c r="D5" s="2" t="str">
        <f t="shared" si="0"/>
        <v>Pre-Covid</v>
      </c>
      <c r="E5" s="19">
        <f>('Question 4 (Data)'!F17-'Question 4 (Data)'!F5)/'Question 4 (Data)'!F5</f>
        <v>8.1613508442776761E-2</v>
      </c>
      <c r="F5" s="19">
        <f>('Question 4 (Data)'!G17-'Question 4 (Data)'!G5)/'Question 4 (Data)'!G5</f>
        <v>5.9330143540669886E-2</v>
      </c>
      <c r="G5" s="19">
        <f>('Question 4 (Data)'!H17-'Question 4 (Data)'!H5)/'Question 4 (Data)'!H5</f>
        <v>8.0337756332931137E-2</v>
      </c>
      <c r="H5" s="19">
        <f>('Question 4 (Data)'!I17-'Question 4 (Data)'!I5)/'Question 4 (Data)'!I5</f>
        <v>7.8822412155745467E-2</v>
      </c>
      <c r="K5" s="23" t="s">
        <v>23</v>
      </c>
      <c r="L5" s="25">
        <f>AVERAGEIF($A$4:$A$115,L3,$F$4:$F$115)</f>
        <v>8.0033677482878221E-2</v>
      </c>
      <c r="M5" s="25">
        <f t="shared" ref="M5:N5" si="2">AVERAGEIF($A$4:$A$115,M3,$F$4:$F$115)</f>
        <v>3.6588631115471212E-2</v>
      </c>
      <c r="N5" s="25">
        <f t="shared" si="2"/>
        <v>8.4660072603131187E-2</v>
      </c>
    </row>
    <row r="6" spans="1:15" ht="14.4" x14ac:dyDescent="0.3">
      <c r="A6" s="2">
        <v>2014</v>
      </c>
      <c r="B6" s="2" t="s">
        <v>46</v>
      </c>
      <c r="C6" s="3">
        <v>41699</v>
      </c>
      <c r="D6" s="2" t="str">
        <f t="shared" si="0"/>
        <v>Pre-Covid</v>
      </c>
      <c r="E6" s="19">
        <f>('Question 4 (Data)'!F18-'Question 4 (Data)'!F6)/'Question 4 (Data)'!F6</f>
        <v>8.6061739943872673E-2</v>
      </c>
      <c r="F6" s="19">
        <f>('Question 4 (Data)'!G18-'Question 4 (Data)'!G6)/'Question 4 (Data)'!G6</f>
        <v>6.00571973307912E-2</v>
      </c>
      <c r="G6" s="19">
        <f>('Question 4 (Data)'!H18-'Question 4 (Data)'!H6)/'Question 4 (Data)'!H6</f>
        <v>8.0606352261790179E-2</v>
      </c>
      <c r="H6" s="19">
        <f>('Question 4 (Data)'!I18-'Question 4 (Data)'!I6)/'Question 4 (Data)'!I6</f>
        <v>8.246445497630335E-2</v>
      </c>
      <c r="K6" s="23" t="s">
        <v>72</v>
      </c>
      <c r="L6" s="25">
        <f>AVERAGEIF($A$4:$A$115,L3,$G$4:$G$115)</f>
        <v>3.712417498315241E-2</v>
      </c>
      <c r="M6" s="25">
        <f t="shared" ref="M6:N6" si="3">AVERAGEIF($A$4:$A$115,M3,$G$4:$G$115)</f>
        <v>3.3673286003810664E-2</v>
      </c>
      <c r="N6" s="25">
        <f t="shared" si="3"/>
        <v>7.6352205037083801E-2</v>
      </c>
    </row>
    <row r="7" spans="1:15" ht="14.4" x14ac:dyDescent="0.3">
      <c r="A7" s="2">
        <v>2014</v>
      </c>
      <c r="B7" s="2" t="s">
        <v>37</v>
      </c>
      <c r="C7" s="3">
        <v>41730</v>
      </c>
      <c r="D7" s="2" t="str">
        <f t="shared" si="0"/>
        <v>Pre-Covid</v>
      </c>
      <c r="E7" s="19">
        <f>('Question 4 (Data)'!F19-'Question 4 (Data)'!F7)/'Question 4 (Data)'!F7</f>
        <v>9.1922005571030557E-2</v>
      </c>
      <c r="F7" s="19">
        <f>('Question 4 (Data)'!G19-'Question 4 (Data)'!G7)/'Question 4 (Data)'!G7</f>
        <v>5.8879392212725576E-2</v>
      </c>
      <c r="G7" s="19">
        <f>('Question 4 (Data)'!H19-'Question 4 (Data)'!H7)/'Question 4 (Data)'!H7</f>
        <v>8.0633549316054778E-2</v>
      </c>
      <c r="H7" s="19">
        <f>('Question 4 (Data)'!I19-'Question 4 (Data)'!I7)/'Question 4 (Data)'!I7</f>
        <v>8.4825636192271445E-2</v>
      </c>
      <c r="K7" s="23" t="s">
        <v>29</v>
      </c>
      <c r="L7" s="25">
        <f>AVERAGEIF($A$4:$A$115,L3,$H$4:$H$115)</f>
        <v>3.9729559917622899E-2</v>
      </c>
      <c r="M7" s="25">
        <f t="shared" ref="M7:N7" si="4">AVERAGEIF($A$4:$A$115,M3,$H$4:$H$115)</f>
        <v>5.0210109886023535E-2</v>
      </c>
      <c r="N7" s="25">
        <f t="shared" si="4"/>
        <v>6.9717453873728505E-2</v>
      </c>
    </row>
    <row r="8" spans="1:15" ht="14.4" x14ac:dyDescent="0.3">
      <c r="A8" s="2">
        <v>2014</v>
      </c>
      <c r="B8" s="2" t="s">
        <v>38</v>
      </c>
      <c r="C8" s="3">
        <v>41760</v>
      </c>
      <c r="D8" s="2" t="str">
        <f t="shared" si="0"/>
        <v>Pre-Covid</v>
      </c>
      <c r="E8" s="19">
        <f>('Question 4 (Data)'!F20-'Question 4 (Data)'!F8)/'Question 4 (Data)'!F8</f>
        <v>8.8827838827838845E-2</v>
      </c>
      <c r="F8" s="19">
        <f>('Question 4 (Data)'!G20-'Question 4 (Data)'!G8)/'Question 4 (Data)'!G8</f>
        <v>5.5712936732766678E-2</v>
      </c>
      <c r="G8" s="19">
        <f>('Question 4 (Data)'!H20-'Question 4 (Data)'!H8)/'Question 4 (Data)'!H8</f>
        <v>8.0479041916167712E-2</v>
      </c>
      <c r="H8" s="19">
        <f>('Question 4 (Data)'!I20-'Question 4 (Data)'!I8)/'Question 4 (Data)'!I8</f>
        <v>8.3255378858746412E-2</v>
      </c>
      <c r="K8" s="20"/>
      <c r="L8" s="21"/>
      <c r="M8" s="21"/>
      <c r="N8" s="21"/>
    </row>
    <row r="9" spans="1:15" ht="14.4" x14ac:dyDescent="0.3">
      <c r="A9" s="2">
        <v>2014</v>
      </c>
      <c r="B9" s="2" t="s">
        <v>39</v>
      </c>
      <c r="C9" s="3">
        <v>41791</v>
      </c>
      <c r="D9" s="2" t="str">
        <f t="shared" si="0"/>
        <v>Pre-Covid</v>
      </c>
      <c r="E9" s="19">
        <f>('Question 4 (Data)'!F21-'Question 4 (Data)'!F9)/'Question 4 (Data)'!F9</f>
        <v>7.3083778966131926E-2</v>
      </c>
      <c r="F9" s="19">
        <f>('Question 4 (Data)'!G21-'Question 4 (Data)'!G9)/'Question 4 (Data)'!G9</f>
        <v>5.5451127819548786E-2</v>
      </c>
      <c r="G9" s="19">
        <f>('Question 4 (Data)'!H21-'Question 4 (Data)'!H9)/'Question 4 (Data)'!H9</f>
        <v>6.1534861956013265E-2</v>
      </c>
      <c r="H9" s="19">
        <f>('Question 4 (Data)'!I21-'Question 4 (Data)'!I9)/'Question 4 (Data)'!I9</f>
        <v>6.7703568161024755E-2</v>
      </c>
    </row>
    <row r="10" spans="1:15" ht="14.4" x14ac:dyDescent="0.3">
      <c r="A10" s="2">
        <v>2014</v>
      </c>
      <c r="B10" s="2" t="s">
        <v>40</v>
      </c>
      <c r="C10" s="3">
        <v>41821</v>
      </c>
      <c r="D10" s="2" t="str">
        <f t="shared" si="0"/>
        <v>Pre-Covid</v>
      </c>
      <c r="E10" s="19">
        <f>('Question 4 (Data)'!F22-'Question 4 (Data)'!F10)/'Question 4 (Data)'!F10</f>
        <v>8.7183958151700089E-2</v>
      </c>
      <c r="F10" s="19">
        <f>('Question 4 (Data)'!G22-'Question 4 (Data)'!G10)/'Question 4 (Data)'!G10</f>
        <v>5.3271028037383206E-2</v>
      </c>
      <c r="G10" s="19">
        <f>('Question 4 (Data)'!H22-'Question 4 (Data)'!H10)/'Question 4 (Data)'!H10</f>
        <v>5.8877857307781112E-2</v>
      </c>
      <c r="H10" s="19">
        <f>('Question 4 (Data)'!I22-'Question 4 (Data)'!I10)/'Question 4 (Data)'!I10</f>
        <v>7.3873873873873896E-2</v>
      </c>
    </row>
    <row r="11" spans="1:15" ht="14.4" x14ac:dyDescent="0.3">
      <c r="A11" s="2">
        <v>2014</v>
      </c>
      <c r="B11" s="2" t="s">
        <v>41</v>
      </c>
      <c r="C11" s="3">
        <v>41852</v>
      </c>
      <c r="D11" s="2" t="str">
        <f t="shared" si="0"/>
        <v>Pre-Covid</v>
      </c>
      <c r="E11" s="19">
        <f>('Question 4 (Data)'!F23-'Question 4 (Data)'!F11)/'Question 4 (Data)'!F11</f>
        <v>8.5763293310463132E-2</v>
      </c>
      <c r="F11" s="19">
        <f>('Question 4 (Data)'!G23-'Question 4 (Data)'!G11)/'Question 4 (Data)'!G11</f>
        <v>5.3953488372092996E-2</v>
      </c>
      <c r="G11" s="19">
        <f>('Question 4 (Data)'!H23-'Question 4 (Data)'!H11)/'Question 4 (Data)'!H11</f>
        <v>5.4524627720504037E-2</v>
      </c>
      <c r="H11" s="19">
        <f>('Question 4 (Data)'!I23-'Question 4 (Data)'!I11)/'Question 4 (Data)'!I11</f>
        <v>7.0284697508896724E-2</v>
      </c>
      <c r="K11" s="26" t="s">
        <v>1</v>
      </c>
      <c r="L11" s="26" t="s">
        <v>15</v>
      </c>
      <c r="M11" s="26" t="s">
        <v>69</v>
      </c>
      <c r="N11" s="26" t="s">
        <v>68</v>
      </c>
      <c r="O11" s="26" t="s">
        <v>74</v>
      </c>
    </row>
    <row r="12" spans="1:15" ht="14.4" x14ac:dyDescent="0.3">
      <c r="A12" s="2">
        <v>2014</v>
      </c>
      <c r="B12" s="2" t="s">
        <v>42</v>
      </c>
      <c r="C12" s="3">
        <v>41883</v>
      </c>
      <c r="D12" s="2" t="str">
        <f t="shared" si="0"/>
        <v>Pre-Covid</v>
      </c>
      <c r="E12" s="19">
        <f>('Question 4 (Data)'!F24-'Question 4 (Data)'!F12)/'Question 4 (Data)'!F12</f>
        <v>6.3398140321217239E-2</v>
      </c>
      <c r="F12" s="19">
        <f>('Question 4 (Data)'!G24-'Question 4 (Data)'!G12)/'Question 4 (Data)'!G12</f>
        <v>5.1803885291396935E-2</v>
      </c>
      <c r="G12" s="19">
        <f>('Question 4 (Data)'!H24-'Question 4 (Data)'!H12)/'Question 4 (Data)'!H12</f>
        <v>4.606308146131171E-2</v>
      </c>
      <c r="H12" s="19">
        <f>('Question 4 (Data)'!I24-'Question 4 (Data)'!I12)/'Question 4 (Data)'!I12</f>
        <v>5.6288478452066769E-2</v>
      </c>
      <c r="K12" s="27">
        <v>2014</v>
      </c>
      <c r="L12" s="19">
        <f>AVERAGEIF($A$4:$A$115,K12,$E$4:$E$115)</f>
        <v>7.1834736662910986E-2</v>
      </c>
      <c r="M12" s="19">
        <f>AVERAGEIF($A$4:$A$115,K12,$F$4:$F$115)</f>
        <v>5.5088974113726839E-2</v>
      </c>
      <c r="N12" s="19">
        <f>AVERAGEIF($A$4:$A$115,K12,$G$4:$G$115)</f>
        <v>6.2781954880144861E-2</v>
      </c>
      <c r="O12" s="19">
        <f>AVERAGEIF($A$4:$A$115,K12,$H$4:$H$115)</f>
        <v>6.7099724254934809E-2</v>
      </c>
    </row>
    <row r="13" spans="1:15" ht="14.4" x14ac:dyDescent="0.3">
      <c r="A13" s="2">
        <v>2014</v>
      </c>
      <c r="B13" s="2" t="s">
        <v>43</v>
      </c>
      <c r="C13" s="3">
        <v>41913</v>
      </c>
      <c r="D13" s="2" t="str">
        <f t="shared" si="0"/>
        <v>Pre-Covid</v>
      </c>
      <c r="E13" s="19">
        <f>('Question 4 (Data)'!F25-'Question 4 (Data)'!F13)/'Question 4 (Data)'!F13</f>
        <v>4.3261231281198027E-2</v>
      </c>
      <c r="F13" s="19">
        <f>('Question 4 (Data)'!G25-'Question 4 (Data)'!G13)/'Question 4 (Data)'!G13</f>
        <v>5.2486187845303893E-2</v>
      </c>
      <c r="G13" s="19">
        <f>('Question 4 (Data)'!H25-'Question 4 (Data)'!H13)/'Question 4 (Data)'!H13</f>
        <v>4.5958795562599075E-2</v>
      </c>
      <c r="H13" s="19">
        <f>('Question 4 (Data)'!I25-'Question 4 (Data)'!I13)/'Question 4 (Data)'!I13</f>
        <v>4.6167247386759556E-2</v>
      </c>
      <c r="K13" s="27">
        <v>2015</v>
      </c>
      <c r="L13" s="19">
        <f t="shared" ref="L13:L21" si="5">AVERAGEIF($A$4:$A$115,K13,$E$4:$E$115)</f>
        <v>5.2842190779701849E-2</v>
      </c>
      <c r="M13" s="19">
        <f t="shared" ref="M13:M21" si="6">AVERAGEIF($A$4:$A$115,K13,$F$4:$F$115)</f>
        <v>5.2502267783417378E-2</v>
      </c>
      <c r="N13" s="19">
        <f t="shared" ref="N13:N21" si="7">AVERAGEIF($A$4:$A$115,K13,$G$4:$G$115)</f>
        <v>4.1187971258774256E-2</v>
      </c>
      <c r="O13" s="19">
        <f t="shared" ref="O13:O21" si="8">AVERAGEIF($A$4:$A$115,K13,$H$4:$H$115)</f>
        <v>4.9128370614229339E-2</v>
      </c>
    </row>
    <row r="14" spans="1:15" ht="14.4" x14ac:dyDescent="0.3">
      <c r="A14" s="2">
        <v>2014</v>
      </c>
      <c r="B14" s="2" t="s">
        <v>44</v>
      </c>
      <c r="C14" s="3">
        <v>41944</v>
      </c>
      <c r="D14" s="2" t="str">
        <f t="shared" si="0"/>
        <v>Pre-Covid</v>
      </c>
      <c r="E14" s="19">
        <f>('Question 4 (Data)'!F26-'Question 4 (Data)'!F14)/'Question 4 (Data)'!F14</f>
        <v>2.0391517128874388E-2</v>
      </c>
      <c r="F14" s="19">
        <f>('Question 4 (Data)'!G26-'Question 4 (Data)'!G14)/'Question 4 (Data)'!G14</f>
        <v>5.0320219579139985E-2</v>
      </c>
      <c r="G14" s="19">
        <f>('Question 4 (Data)'!H26-'Question 4 (Data)'!H14)/'Question 4 (Data)'!H14</f>
        <v>4.285069914298615E-2</v>
      </c>
      <c r="H14" s="19">
        <f>('Question 4 (Data)'!I26-'Question 4 (Data)'!I14)/'Question 4 (Data)'!I14</f>
        <v>3.2674118658641421E-2</v>
      </c>
      <c r="K14" s="27">
        <v>2016</v>
      </c>
      <c r="L14" s="19">
        <f t="shared" si="5"/>
        <v>5.3733040257430052E-2</v>
      </c>
      <c r="M14" s="19">
        <f t="shared" si="6"/>
        <v>4.9114176354564575E-2</v>
      </c>
      <c r="N14" s="19">
        <f t="shared" si="7"/>
        <v>4.0593537133652928E-2</v>
      </c>
      <c r="O14" s="19">
        <f t="shared" si="8"/>
        <v>4.9603637427423665E-2</v>
      </c>
    </row>
    <row r="15" spans="1:15" ht="14.4" x14ac:dyDescent="0.3">
      <c r="A15" s="2">
        <v>2014</v>
      </c>
      <c r="B15" s="2" t="s">
        <v>45</v>
      </c>
      <c r="C15" s="3">
        <v>41974</v>
      </c>
      <c r="D15" s="2" t="str">
        <f t="shared" si="0"/>
        <v>Pre-Covid</v>
      </c>
      <c r="E15" s="19">
        <f>('Question 4 (Data)'!F27-'Question 4 (Data)'!F15)/'Question 4 (Data)'!F15</f>
        <v>4.3918918918918824E-2</v>
      </c>
      <c r="F15" s="19">
        <f>('Question 4 (Data)'!G27-'Question 4 (Data)'!G15)/'Question 4 (Data)'!G15</f>
        <v>4.9225159525979868E-2</v>
      </c>
      <c r="G15" s="19">
        <f>('Question 4 (Data)'!H27-'Question 4 (Data)'!H15)/'Question 4 (Data)'!H15</f>
        <v>4.0324397386798647E-2</v>
      </c>
      <c r="H15" s="19">
        <f>('Question 4 (Data)'!I27-'Question 4 (Data)'!I15)/'Question 4 (Data)'!I15</f>
        <v>4.2794759825327558E-2</v>
      </c>
      <c r="K15" s="27">
        <v>2017</v>
      </c>
      <c r="L15" s="19">
        <f t="shared" si="5"/>
        <v>1.8222130379461542E-2</v>
      </c>
      <c r="M15" s="19">
        <f t="shared" si="6"/>
        <v>4.1511277150606971E-2</v>
      </c>
      <c r="N15" s="19">
        <f t="shared" si="7"/>
        <v>4.8967835400975594E-2</v>
      </c>
      <c r="O15" s="19">
        <f t="shared" si="8"/>
        <v>3.327388537536536E-2</v>
      </c>
    </row>
    <row r="16" spans="1:15" ht="14.4" x14ac:dyDescent="0.3">
      <c r="A16" s="2">
        <v>2015</v>
      </c>
      <c r="B16" s="2" t="s">
        <v>31</v>
      </c>
      <c r="C16" s="3">
        <v>42005</v>
      </c>
      <c r="D16" s="2" t="str">
        <f t="shared" si="0"/>
        <v>Pre-Covid</v>
      </c>
      <c r="E16" s="19">
        <f>('Question 4 (Data)'!F28-'Question 4 (Data)'!F16)/'Question 4 (Data)'!F16</f>
        <v>6.3039723661485303E-2</v>
      </c>
      <c r="F16" s="19">
        <f>('Question 4 (Data)'!G28-'Question 4 (Data)'!G16)/'Question 4 (Data)'!G16</f>
        <v>4.7144152311876728E-2</v>
      </c>
      <c r="G16" s="19">
        <f>('Question 4 (Data)'!H28-'Question 4 (Data)'!H16)/'Question 4 (Data)'!H16</f>
        <v>3.7659717552118388E-2</v>
      </c>
      <c r="H16" s="19">
        <f>('Question 4 (Data)'!I28-'Question 4 (Data)'!I16)/'Question 4 (Data)'!I16</f>
        <v>5.1936619718309915E-2</v>
      </c>
      <c r="K16" s="27">
        <v>2018</v>
      </c>
      <c r="L16" s="19">
        <f t="shared" si="5"/>
        <v>1.7017060683915126E-2</v>
      </c>
      <c r="M16" s="19">
        <f t="shared" si="6"/>
        <v>6.1919046780641841E-2</v>
      </c>
      <c r="N16" s="19">
        <f t="shared" si="7"/>
        <v>6.3951028753366765E-2</v>
      </c>
      <c r="O16" s="19">
        <f t="shared" si="8"/>
        <v>3.9676971910429099E-2</v>
      </c>
    </row>
    <row r="17" spans="1:15" ht="14.4" x14ac:dyDescent="0.3">
      <c r="A17" s="2">
        <v>2015</v>
      </c>
      <c r="B17" s="2" t="s">
        <v>35</v>
      </c>
      <c r="C17" s="3">
        <v>42036</v>
      </c>
      <c r="D17" s="2" t="str">
        <f t="shared" si="0"/>
        <v>Pre-Covid</v>
      </c>
      <c r="E17" s="19">
        <f>('Question 4 (Data)'!F29-'Question 4 (Data)'!F17)/'Question 4 (Data)'!F17</f>
        <v>6.7649609713790096E-2</v>
      </c>
      <c r="F17" s="19">
        <f>('Question 4 (Data)'!G29-'Question 4 (Data)'!G17)/'Question 4 (Data)'!G17</f>
        <v>5.0587172538391997E-2</v>
      </c>
      <c r="G17" s="19">
        <f>('Question 4 (Data)'!H29-'Question 4 (Data)'!H17)/'Question 4 (Data)'!H17</f>
        <v>3.6623492630638757E-2</v>
      </c>
      <c r="H17" s="19">
        <f>('Question 4 (Data)'!I29-'Question 4 (Data)'!I17)/'Question 4 (Data)'!I17</f>
        <v>5.369718309859163E-2</v>
      </c>
      <c r="K17" s="27">
        <v>2019</v>
      </c>
      <c r="L17" s="19">
        <f t="shared" si="5"/>
        <v>3.8233052491726913E-2</v>
      </c>
      <c r="M17" s="19">
        <f t="shared" si="6"/>
        <v>8.0033677482878221E-2</v>
      </c>
      <c r="N17" s="19">
        <f t="shared" si="7"/>
        <v>3.712417498315241E-2</v>
      </c>
      <c r="O17" s="19">
        <f t="shared" si="8"/>
        <v>3.9729559917622899E-2</v>
      </c>
    </row>
    <row r="18" spans="1:15" ht="14.4" x14ac:dyDescent="0.3">
      <c r="A18" s="2">
        <v>2015</v>
      </c>
      <c r="B18" s="2" t="s">
        <v>36</v>
      </c>
      <c r="C18" s="3">
        <v>42064</v>
      </c>
      <c r="D18" s="2" t="str">
        <f t="shared" si="0"/>
        <v>Pre-Covid</v>
      </c>
      <c r="E18" s="19">
        <f>('Question 4 (Data)'!F30-'Question 4 (Data)'!F18)/'Question 4 (Data)'!F18</f>
        <v>6.2876830318690888E-2</v>
      </c>
      <c r="F18" s="19">
        <f>('Question 4 (Data)'!G30-'Question 4 (Data)'!G18)/'Question 4 (Data)'!G18</f>
        <v>4.9460431654676257E-2</v>
      </c>
      <c r="G18" s="19">
        <f>('Question 4 (Data)'!H30-'Question 4 (Data)'!H18)/'Question 4 (Data)'!H18</f>
        <v>3.9634825205967388E-2</v>
      </c>
      <c r="H18" s="19">
        <f>('Question 4 (Data)'!I30-'Question 4 (Data)'!I18)/'Question 4 (Data)'!I18</f>
        <v>5.2539404553415062E-2</v>
      </c>
      <c r="K18" s="27">
        <v>2020</v>
      </c>
      <c r="L18" s="19">
        <f t="shared" si="5"/>
        <v>7.6667233429964676E-2</v>
      </c>
      <c r="M18" s="19">
        <f t="shared" si="6"/>
        <v>3.6588631115471212E-2</v>
      </c>
      <c r="N18" s="19">
        <f t="shared" si="7"/>
        <v>3.3673286003810664E-2</v>
      </c>
      <c r="O18" s="19">
        <f t="shared" si="8"/>
        <v>5.0210109886023535E-2</v>
      </c>
    </row>
    <row r="19" spans="1:15" ht="14.4" x14ac:dyDescent="0.3">
      <c r="A19" s="2">
        <v>2015</v>
      </c>
      <c r="B19" s="2" t="s">
        <v>37</v>
      </c>
      <c r="C19" s="3">
        <v>42095</v>
      </c>
      <c r="D19" s="2" t="str">
        <f t="shared" si="0"/>
        <v>Pre-Covid</v>
      </c>
      <c r="E19" s="19">
        <f>('Question 4 (Data)'!F31-'Question 4 (Data)'!F19)/'Question 4 (Data)'!F19</f>
        <v>5.4421768707483047E-2</v>
      </c>
      <c r="F19" s="19">
        <f>('Question 4 (Data)'!G31-'Question 4 (Data)'!G19)/'Question 4 (Data)'!G19</f>
        <v>5.0224215246636721E-2</v>
      </c>
      <c r="G19" s="19">
        <f>('Question 4 (Data)'!H31-'Question 4 (Data)'!H19)/'Question 4 (Data)'!H19</f>
        <v>4.1527870308683074E-2</v>
      </c>
      <c r="H19" s="19">
        <f>('Question 4 (Data)'!I31-'Question 4 (Data)'!I19)/'Question 4 (Data)'!I19</f>
        <v>4.8653344917463155E-2</v>
      </c>
      <c r="K19" s="27">
        <v>2021</v>
      </c>
      <c r="L19" s="19">
        <f t="shared" si="5"/>
        <v>5.0508943725998012E-2</v>
      </c>
      <c r="M19" s="19">
        <f t="shared" si="6"/>
        <v>8.4660072603131187E-2</v>
      </c>
      <c r="N19" s="19">
        <f t="shared" si="7"/>
        <v>7.6352205037083801E-2</v>
      </c>
      <c r="O19" s="19">
        <f t="shared" si="8"/>
        <v>6.9717453873728505E-2</v>
      </c>
    </row>
    <row r="20" spans="1:15" ht="14.4" x14ac:dyDescent="0.3">
      <c r="A20" s="2">
        <v>2015</v>
      </c>
      <c r="B20" s="2" t="s">
        <v>38</v>
      </c>
      <c r="C20" s="3">
        <v>42125</v>
      </c>
      <c r="D20" s="2" t="str">
        <f t="shared" si="0"/>
        <v>Pre-Covid</v>
      </c>
      <c r="E20" s="19">
        <f>('Question 4 (Data)'!F32-'Question 4 (Data)'!F20)/'Question 4 (Data)'!F20</f>
        <v>5.1303616484440658E-2</v>
      </c>
      <c r="F20" s="19">
        <f>('Question 4 (Data)'!G32-'Question 4 (Data)'!G20)/'Question 4 (Data)'!G20</f>
        <v>5.2772808586762129E-2</v>
      </c>
      <c r="G20" s="19">
        <f>('Question 4 (Data)'!H32-'Question 4 (Data)'!H20)/'Question 4 (Data)'!H20</f>
        <v>4.6774551097317714E-2</v>
      </c>
      <c r="H20" s="19">
        <f>('Question 4 (Data)'!I32-'Question 4 (Data)'!I20)/'Question 4 (Data)'!I20</f>
        <v>5.008635578583763E-2</v>
      </c>
      <c r="K20" s="27">
        <v>2022</v>
      </c>
      <c r="L20" s="19">
        <f t="shared" si="5"/>
        <v>6.6348350451501351E-2</v>
      </c>
      <c r="M20" s="19">
        <f t="shared" si="6"/>
        <v>6.094058800626951E-2</v>
      </c>
      <c r="N20" s="19">
        <f t="shared" si="7"/>
        <v>6.4573563216007088E-2</v>
      </c>
      <c r="O20" s="19">
        <f t="shared" si="8"/>
        <v>6.6240649804989227E-2</v>
      </c>
    </row>
    <row r="21" spans="1:15" ht="14.4" x14ac:dyDescent="0.3">
      <c r="A21" s="2">
        <v>2015</v>
      </c>
      <c r="B21" s="2" t="s">
        <v>39</v>
      </c>
      <c r="C21" s="3">
        <v>42156</v>
      </c>
      <c r="D21" s="2" t="str">
        <f t="shared" si="0"/>
        <v>Pre-Covid</v>
      </c>
      <c r="E21" s="19">
        <f>('Question 4 (Data)'!F33-'Question 4 (Data)'!F21)/'Question 4 (Data)'!F21</f>
        <v>5.7308970099667698E-2</v>
      </c>
      <c r="F21" s="19">
        <f>('Question 4 (Data)'!G33-'Question 4 (Data)'!G21)/'Question 4 (Data)'!G21</f>
        <v>5.5209260908281418E-2</v>
      </c>
      <c r="G21" s="19">
        <f>('Question 4 (Data)'!H33-'Question 4 (Data)'!H21)/'Question 4 (Data)'!H21</f>
        <v>4.6506502093894439E-2</v>
      </c>
      <c r="H21" s="19">
        <f>('Question 4 (Data)'!I33-'Question 4 (Data)'!I21)/'Question 4 (Data)'!I21</f>
        <v>5.398457583547555E-2</v>
      </c>
      <c r="K21" s="27">
        <v>2023</v>
      </c>
      <c r="L21" s="19">
        <f t="shared" si="5"/>
        <v>5.0597386558405844E-2</v>
      </c>
      <c r="M21" s="19">
        <f t="shared" si="6"/>
        <v>6.5182621524913484E-2</v>
      </c>
      <c r="N21" s="19">
        <f t="shared" si="7"/>
        <v>5.4051098125407149E-2</v>
      </c>
      <c r="O21" s="19">
        <f t="shared" si="8"/>
        <v>5.5756721664536081E-2</v>
      </c>
    </row>
    <row r="22" spans="1:15" ht="14.4" x14ac:dyDescent="0.3">
      <c r="A22" s="2">
        <v>2015</v>
      </c>
      <c r="B22" s="2" t="s">
        <v>40</v>
      </c>
      <c r="C22" s="3">
        <v>42186</v>
      </c>
      <c r="D22" s="2" t="str">
        <f t="shared" si="0"/>
        <v>Pre-Covid</v>
      </c>
      <c r="E22" s="19">
        <f>('Question 4 (Data)'!F34-'Question 4 (Data)'!F22)/'Question 4 (Data)'!F22</f>
        <v>2.8067361668003093E-2</v>
      </c>
      <c r="F22" s="19">
        <f>('Question 4 (Data)'!G34-'Question 4 (Data)'!G22)/'Question 4 (Data)'!G22</f>
        <v>5.5900621118012396E-2</v>
      </c>
      <c r="G22" s="19">
        <f>('Question 4 (Data)'!H34-'Question 4 (Data)'!H22)/'Question 4 (Data)'!H22</f>
        <v>4.0340165721761759E-2</v>
      </c>
      <c r="H22" s="19">
        <f>('Question 4 (Data)'!I34-'Question 4 (Data)'!I22)/'Question 4 (Data)'!I22</f>
        <v>3.6912751677852275E-2</v>
      </c>
    </row>
    <row r="23" spans="1:15" ht="14.4" x14ac:dyDescent="0.3">
      <c r="A23" s="2">
        <v>2015</v>
      </c>
      <c r="B23" s="2" t="s">
        <v>41</v>
      </c>
      <c r="C23" s="3">
        <v>42217</v>
      </c>
      <c r="D23" s="2" t="str">
        <f t="shared" si="0"/>
        <v>Pre-Covid</v>
      </c>
      <c r="E23" s="19">
        <f>('Question 4 (Data)'!F35-'Question 4 (Data)'!F23)/'Question 4 (Data)'!F23</f>
        <v>2.922590837282794E-2</v>
      </c>
      <c r="F23" s="19">
        <f>('Question 4 (Data)'!G35-'Question 4 (Data)'!G23)/'Question 4 (Data)'!G23</f>
        <v>5.3839364518976245E-2</v>
      </c>
      <c r="G23" s="19">
        <f>('Question 4 (Data)'!H35-'Question 4 (Data)'!H23)/'Question 4 (Data)'!H23</f>
        <v>3.9104931566369759E-2</v>
      </c>
      <c r="H23" s="19">
        <f>('Question 4 (Data)'!I35-'Question 4 (Data)'!I23)/'Question 4 (Data)'!I23</f>
        <v>3.7406483790523692E-2</v>
      </c>
    </row>
    <row r="24" spans="1:15" ht="14.4" x14ac:dyDescent="0.3">
      <c r="A24" s="2">
        <v>2015</v>
      </c>
      <c r="B24" s="2" t="s">
        <v>42</v>
      </c>
      <c r="C24" s="3">
        <v>42248</v>
      </c>
      <c r="D24" s="2" t="str">
        <f t="shared" si="0"/>
        <v>Pre-Covid</v>
      </c>
      <c r="E24" s="19">
        <f>('Question 4 (Data)'!F36-'Question 4 (Data)'!F24)/'Question 4 (Data)'!F24</f>
        <v>4.2925278219395797E-2</v>
      </c>
      <c r="F24" s="19">
        <f>('Question 4 (Data)'!G36-'Question 4 (Data)'!G24)/'Question 4 (Data)'!G24</f>
        <v>5.3649956024626161E-2</v>
      </c>
      <c r="G24" s="19">
        <f>('Question 4 (Data)'!H36-'Question 4 (Data)'!H24)/'Question 4 (Data)'!H24</f>
        <v>3.9045553145336226E-2</v>
      </c>
      <c r="H24" s="19">
        <f>('Question 4 (Data)'!I36-'Question 4 (Data)'!I24)/'Question 4 (Data)'!I24</f>
        <v>4.412989175686937E-2</v>
      </c>
    </row>
    <row r="25" spans="1:15" ht="14.4" x14ac:dyDescent="0.3">
      <c r="A25" s="2">
        <v>2015</v>
      </c>
      <c r="B25" s="2" t="s">
        <v>43</v>
      </c>
      <c r="C25" s="3">
        <v>42278</v>
      </c>
      <c r="D25" s="2" t="str">
        <f t="shared" si="0"/>
        <v>Pre-Covid</v>
      </c>
      <c r="E25" s="19">
        <f>('Question 4 (Data)'!F37-'Question 4 (Data)'!F25)/'Question 4 (Data)'!F25</f>
        <v>5.3429027113237548E-2</v>
      </c>
      <c r="F25" s="19">
        <f>('Question 4 (Data)'!G37-'Question 4 (Data)'!G25)/'Question 4 (Data)'!G25</f>
        <v>5.3368328958880218E-2</v>
      </c>
      <c r="G25" s="19">
        <f>('Question 4 (Data)'!H37-'Question 4 (Data)'!H25)/'Question 4 (Data)'!H25</f>
        <v>4.004329004329004E-2</v>
      </c>
      <c r="H25" s="19">
        <f>('Question 4 (Data)'!I37-'Question 4 (Data)'!I25)/'Question 4 (Data)'!I25</f>
        <v>4.9958368026644467E-2</v>
      </c>
    </row>
    <row r="26" spans="1:15" ht="14.4" x14ac:dyDescent="0.3">
      <c r="A26" s="2">
        <v>2015</v>
      </c>
      <c r="B26" s="2" t="s">
        <v>44</v>
      </c>
      <c r="C26" s="3">
        <v>42309</v>
      </c>
      <c r="D26" s="2" t="str">
        <f t="shared" si="0"/>
        <v>Pre-Covid</v>
      </c>
      <c r="E26" s="19">
        <f>('Question 4 (Data)'!F38-'Question 4 (Data)'!F26)/'Question 4 (Data)'!F26</f>
        <v>6.0751398880895244E-2</v>
      </c>
      <c r="F26" s="19">
        <f>('Question 4 (Data)'!G38-'Question 4 (Data)'!G26)/'Question 4 (Data)'!G26</f>
        <v>5.3135888501742237E-2</v>
      </c>
      <c r="G26" s="19">
        <f>('Question 4 (Data)'!H38-'Question 4 (Data)'!H26)/'Question 4 (Data)'!H26</f>
        <v>4.3036332179930741E-2</v>
      </c>
      <c r="H26" s="19">
        <f>('Question 4 (Data)'!I38-'Question 4 (Data)'!I26)/'Question 4 (Data)'!I26</f>
        <v>5.4121565362198171E-2</v>
      </c>
    </row>
    <row r="27" spans="1:15" ht="14.4" x14ac:dyDescent="0.3">
      <c r="A27" s="2">
        <v>2015</v>
      </c>
      <c r="B27" s="2" t="s">
        <v>45</v>
      </c>
      <c r="C27" s="3">
        <v>42339</v>
      </c>
      <c r="D27" s="2" t="str">
        <f t="shared" si="0"/>
        <v>Pre-Covid</v>
      </c>
      <c r="E27" s="19">
        <f>('Question 4 (Data)'!F39-'Question 4 (Data)'!F27)/'Question 4 (Data)'!F27</f>
        <v>6.3106796116504951E-2</v>
      </c>
      <c r="F27" s="19">
        <f>('Question 4 (Data)'!G39-'Question 4 (Data)'!G27)/'Question 4 (Data)'!G27</f>
        <v>5.4735013032146063E-2</v>
      </c>
      <c r="G27" s="19">
        <f>('Question 4 (Data)'!H39-'Question 4 (Data)'!H27)/'Question 4 (Data)'!H27</f>
        <v>4.3958423559982827E-2</v>
      </c>
      <c r="H27" s="19">
        <f>('Question 4 (Data)'!I39-'Question 4 (Data)'!I27)/'Question 4 (Data)'!I27</f>
        <v>5.611390284757109E-2</v>
      </c>
    </row>
    <row r="28" spans="1:15" ht="14.4" x14ac:dyDescent="0.3">
      <c r="A28" s="2">
        <v>2016</v>
      </c>
      <c r="B28" s="2" t="s">
        <v>31</v>
      </c>
      <c r="C28" s="3">
        <v>42370</v>
      </c>
      <c r="D28" s="2" t="str">
        <f t="shared" si="0"/>
        <v>Pre-Covid</v>
      </c>
      <c r="E28" s="19">
        <f>('Question 4 (Data)'!F40-'Question 4 (Data)'!F28)/'Question 4 (Data)'!F28</f>
        <v>6.6612510154346202E-2</v>
      </c>
      <c r="F28" s="19">
        <f>('Question 4 (Data)'!G40-'Question 4 (Data)'!G28)/'Question 4 (Data)'!G28</f>
        <v>5.627705627705628E-2</v>
      </c>
      <c r="G28" s="19">
        <f>('Question 4 (Data)'!H40-'Question 4 (Data)'!H28)/'Question 4 (Data)'!H28</f>
        <v>4.4502052279110013E-2</v>
      </c>
      <c r="H28" s="19">
        <f>('Question 4 (Data)'!I40-'Question 4 (Data)'!I28)/'Question 4 (Data)'!I28</f>
        <v>5.6903765690376543E-2</v>
      </c>
    </row>
    <row r="29" spans="1:15" ht="14.4" x14ac:dyDescent="0.3">
      <c r="A29" s="2">
        <v>2016</v>
      </c>
      <c r="B29" s="2" t="s">
        <v>35</v>
      </c>
      <c r="C29" s="3">
        <v>42401</v>
      </c>
      <c r="D29" s="2" t="str">
        <f t="shared" si="0"/>
        <v>Pre-Covid</v>
      </c>
      <c r="E29" s="19">
        <f>('Question 4 (Data)'!F41-'Question 4 (Data)'!F29)/'Question 4 (Data)'!F29</f>
        <v>5.5239642567018778E-2</v>
      </c>
      <c r="F29" s="19">
        <f>('Question 4 (Data)'!G41-'Question 4 (Data)'!G29)/'Question 4 (Data)'!G29</f>
        <v>5.331040412725712E-2</v>
      </c>
      <c r="G29" s="19">
        <f>('Question 4 (Data)'!H41-'Question 4 (Data)'!H29)/'Question 4 (Data)'!H29</f>
        <v>4.5885394226626477E-2</v>
      </c>
      <c r="H29" s="19">
        <f>('Question 4 (Data)'!I41-'Question 4 (Data)'!I29)/'Question 4 (Data)'!I29</f>
        <v>5.2631578947368397E-2</v>
      </c>
    </row>
    <row r="30" spans="1:15" ht="14.4" x14ac:dyDescent="0.3">
      <c r="A30" s="2">
        <v>2016</v>
      </c>
      <c r="B30" s="2" t="s">
        <v>36</v>
      </c>
      <c r="C30" s="3">
        <v>42430</v>
      </c>
      <c r="D30" s="2" t="str">
        <f t="shared" si="0"/>
        <v>Pre-Covid</v>
      </c>
      <c r="E30" s="19">
        <f>('Question 4 (Data)'!F42-'Question 4 (Data)'!F30)/'Question 4 (Data)'!F30</f>
        <v>5.1863857374392267E-2</v>
      </c>
      <c r="F30" s="19">
        <f>('Question 4 (Data)'!G42-'Question 4 (Data)'!G30)/'Question 4 (Data)'!G30</f>
        <v>5.3127677806341068E-2</v>
      </c>
      <c r="G30" s="19">
        <f>('Question 4 (Data)'!H42-'Question 4 (Data)'!H30)/'Question 4 (Data)'!H30</f>
        <v>3.8980509745127533E-2</v>
      </c>
      <c r="H30" s="19">
        <f>('Question 4 (Data)'!I42-'Question 4 (Data)'!I30)/'Question 4 (Data)'!I30</f>
        <v>4.8252911813643905E-2</v>
      </c>
    </row>
    <row r="31" spans="1:15" ht="14.4" x14ac:dyDescent="0.3">
      <c r="A31" s="2">
        <v>2016</v>
      </c>
      <c r="B31" s="2" t="s">
        <v>37</v>
      </c>
      <c r="C31" s="3">
        <v>42461</v>
      </c>
      <c r="D31" s="2" t="str">
        <f t="shared" si="0"/>
        <v>Pre-Covid</v>
      </c>
      <c r="E31" s="19">
        <f>('Question 4 (Data)'!F43-'Question 4 (Data)'!F31)/'Question 4 (Data)'!F31</f>
        <v>6.2903225806451704E-2</v>
      </c>
      <c r="F31" s="19">
        <f>('Question 4 (Data)'!G43-'Question 4 (Data)'!G31)/'Question 4 (Data)'!G31</f>
        <v>5.2092228864218694E-2</v>
      </c>
      <c r="G31" s="19">
        <f>('Question 4 (Data)'!H43-'Question 4 (Data)'!H31)/'Question 4 (Data)'!H31</f>
        <v>3.9872068230277037E-2</v>
      </c>
      <c r="H31" s="19">
        <f>('Question 4 (Data)'!I43-'Question 4 (Data)'!I31)/'Question 4 (Data)'!I31</f>
        <v>5.4681027340513624E-2</v>
      </c>
    </row>
    <row r="32" spans="1:15" ht="14.4" x14ac:dyDescent="0.3">
      <c r="A32" s="2">
        <v>2016</v>
      </c>
      <c r="B32" s="2" t="s">
        <v>38</v>
      </c>
      <c r="C32" s="3">
        <v>42491</v>
      </c>
      <c r="D32" s="2" t="str">
        <f t="shared" si="0"/>
        <v>Pre-Covid</v>
      </c>
      <c r="E32" s="19">
        <f>('Question 4 (Data)'!F44-'Question 4 (Data)'!F32)/'Question 4 (Data)'!F32</f>
        <v>7.1999999999999995E-2</v>
      </c>
      <c r="F32" s="19">
        <f>('Question 4 (Data)'!G44-'Question 4 (Data)'!G32)/'Question 4 (Data)'!G32</f>
        <v>5.0977060322854713E-2</v>
      </c>
      <c r="G32" s="19">
        <f>('Question 4 (Data)'!H44-'Question 4 (Data)'!H32)/'Question 4 (Data)'!H32</f>
        <v>3.7695891571367962E-2</v>
      </c>
      <c r="H32" s="19">
        <f>('Question 4 (Data)'!I44-'Question 4 (Data)'!I32)/'Question 4 (Data)'!I32</f>
        <v>5.7565789473684216E-2</v>
      </c>
    </row>
    <row r="33" spans="1:8" ht="14.4" x14ac:dyDescent="0.3">
      <c r="A33" s="2">
        <v>2016</v>
      </c>
      <c r="B33" s="2" t="s">
        <v>39</v>
      </c>
      <c r="C33" s="3">
        <v>42522</v>
      </c>
      <c r="D33" s="2" t="str">
        <f t="shared" si="0"/>
        <v>Pre-Covid</v>
      </c>
      <c r="E33" s="19">
        <f>('Question 4 (Data)'!F45-'Question 4 (Data)'!F33)/'Question 4 (Data)'!F33</f>
        <v>7.4626865671641909E-2</v>
      </c>
      <c r="F33" s="19">
        <f>('Question 4 (Data)'!G45-'Question 4 (Data)'!G33)/'Question 4 (Data)'!G33</f>
        <v>4.7257383966244675E-2</v>
      </c>
      <c r="G33" s="19">
        <f>('Question 4 (Data)'!H45-'Question 4 (Data)'!H33)/'Question 4 (Data)'!H33</f>
        <v>3.770008424599839E-2</v>
      </c>
      <c r="H33" s="19">
        <f>('Question 4 (Data)'!I45-'Question 4 (Data)'!I33)/'Question 4 (Data)'!I33</f>
        <v>5.772357723577231E-2</v>
      </c>
    </row>
    <row r="34" spans="1:8" ht="14.4" x14ac:dyDescent="0.3">
      <c r="A34" s="2">
        <v>2016</v>
      </c>
      <c r="B34" s="2" t="s">
        <v>40</v>
      </c>
      <c r="C34" s="3">
        <v>42552</v>
      </c>
      <c r="D34" s="2" t="str">
        <f t="shared" si="0"/>
        <v>Pre-Covid</v>
      </c>
      <c r="E34" s="19">
        <f>('Question 4 (Data)'!F46-'Question 4 (Data)'!F34)/'Question 4 (Data)'!F34</f>
        <v>7.9563182527301227E-2</v>
      </c>
      <c r="F34" s="19">
        <f>('Question 4 (Data)'!G46-'Question 4 (Data)'!G34)/'Question 4 (Data)'!G34</f>
        <v>4.6218487394957986E-2</v>
      </c>
      <c r="G34" s="19">
        <f>('Question 4 (Data)'!H46-'Question 4 (Data)'!H34)/'Question 4 (Data)'!H34</f>
        <v>3.6470341647453441E-2</v>
      </c>
      <c r="H34" s="19">
        <f>('Question 4 (Data)'!I46-'Question 4 (Data)'!I34)/'Question 4 (Data)'!I34</f>
        <v>6.0679611650485438E-2</v>
      </c>
    </row>
    <row r="35" spans="1:8" ht="14.4" x14ac:dyDescent="0.3">
      <c r="A35" s="2">
        <v>2016</v>
      </c>
      <c r="B35" s="2" t="s">
        <v>41</v>
      </c>
      <c r="C35" s="3">
        <v>42583</v>
      </c>
      <c r="D35" s="2" t="str">
        <f t="shared" si="0"/>
        <v>Pre-Covid</v>
      </c>
      <c r="E35" s="19">
        <f>('Question 4 (Data)'!F47-'Question 4 (Data)'!F35)/'Question 4 (Data)'!F35</f>
        <v>5.8326937835763572E-2</v>
      </c>
      <c r="F35" s="19">
        <f>('Question 4 (Data)'!G47-'Question 4 (Data)'!G35)/'Question 4 (Data)'!G35</f>
        <v>4.5226130653266257E-2</v>
      </c>
      <c r="G35" s="19">
        <f>('Question 4 (Data)'!H47-'Question 4 (Data)'!H35)/'Question 4 (Data)'!H35</f>
        <v>3.6378841731130922E-2</v>
      </c>
      <c r="H35" s="19">
        <f>('Question 4 (Data)'!I47-'Question 4 (Data)'!I35)/'Question 4 (Data)'!I35</f>
        <v>5.0480769230769211E-2</v>
      </c>
    </row>
    <row r="36" spans="1:8" ht="14.4" x14ac:dyDescent="0.3">
      <c r="A36" s="2">
        <v>2016</v>
      </c>
      <c r="B36" s="2" t="s">
        <v>42</v>
      </c>
      <c r="C36" s="3">
        <v>42614</v>
      </c>
      <c r="D36" s="2" t="str">
        <f t="shared" si="0"/>
        <v>Pre-Covid</v>
      </c>
      <c r="E36" s="19">
        <f>('Question 4 (Data)'!F48-'Question 4 (Data)'!F36)/'Question 4 (Data)'!F36</f>
        <v>4.1158536585365897E-2</v>
      </c>
      <c r="F36" s="19">
        <f>('Question 4 (Data)'!G48-'Question 4 (Data)'!G36)/'Question 4 (Data)'!G36</f>
        <v>4.674457429048421E-2</v>
      </c>
      <c r="G36" s="19">
        <f>('Question 4 (Data)'!H48-'Question 4 (Data)'!H36)/'Question 4 (Data)'!H36</f>
        <v>3.987473903966602E-2</v>
      </c>
      <c r="H36" s="19">
        <f>('Question 4 (Data)'!I48-'Question 4 (Data)'!I36)/'Question 4 (Data)'!I36</f>
        <v>4.3859649122807015E-2</v>
      </c>
    </row>
    <row r="37" spans="1:8" ht="14.4" x14ac:dyDescent="0.3">
      <c r="A37" s="2">
        <v>2016</v>
      </c>
      <c r="B37" s="2" t="s">
        <v>43</v>
      </c>
      <c r="C37" s="3">
        <v>42644</v>
      </c>
      <c r="D37" s="2" t="str">
        <f t="shared" si="0"/>
        <v>Pre-Covid</v>
      </c>
      <c r="E37" s="19">
        <f>('Question 4 (Data)'!F49-'Question 4 (Data)'!F37)/'Question 4 (Data)'!F37</f>
        <v>3.709311127933388E-2</v>
      </c>
      <c r="F37" s="19">
        <f>('Question 4 (Data)'!G49-'Question 4 (Data)'!G37)/'Question 4 (Data)'!G37</f>
        <v>4.7342192691029801E-2</v>
      </c>
      <c r="G37" s="19">
        <f>('Question 4 (Data)'!H49-'Question 4 (Data)'!H37)/'Question 4 (Data)'!H37</f>
        <v>4.1831425598334998E-2</v>
      </c>
      <c r="H37" s="19">
        <f>('Question 4 (Data)'!I49-'Question 4 (Data)'!I37)/'Question 4 (Data)'!I37</f>
        <v>4.2030134813640062E-2</v>
      </c>
    </row>
    <row r="38" spans="1:8" ht="14.4" x14ac:dyDescent="0.3">
      <c r="A38" s="2">
        <v>2016</v>
      </c>
      <c r="B38" s="2" t="s">
        <v>44</v>
      </c>
      <c r="C38" s="3">
        <v>42675</v>
      </c>
      <c r="D38" s="2" t="str">
        <f t="shared" si="0"/>
        <v>Pre-Covid</v>
      </c>
      <c r="E38" s="19">
        <f>('Question 4 (Data)'!F50-'Question 4 (Data)'!F38)/'Question 4 (Data)'!F38</f>
        <v>2.5621703089676005E-2</v>
      </c>
      <c r="F38" s="19">
        <f>('Question 4 (Data)'!G50-'Question 4 (Data)'!G38)/'Question 4 (Data)'!G38</f>
        <v>4.5492142266335814E-2</v>
      </c>
      <c r="G38" s="19">
        <f>('Question 4 (Data)'!H50-'Question 4 (Data)'!H38)/'Question 4 (Data)'!H38</f>
        <v>4.2089985486211803E-2</v>
      </c>
      <c r="H38" s="19">
        <f>('Question 4 (Data)'!I50-'Question 4 (Data)'!I38)/'Question 4 (Data)'!I38</f>
        <v>3.6334913112164254E-2</v>
      </c>
    </row>
    <row r="39" spans="1:8" ht="14.4" x14ac:dyDescent="0.3">
      <c r="A39" s="2">
        <v>2016</v>
      </c>
      <c r="B39" s="2" t="s">
        <v>45</v>
      </c>
      <c r="C39" s="3">
        <v>42705</v>
      </c>
      <c r="D39" s="2" t="str">
        <f t="shared" si="0"/>
        <v>Pre-Covid</v>
      </c>
      <c r="E39" s="19">
        <f>('Question 4 (Data)'!F51-'Question 4 (Data)'!F39)/'Question 4 (Data)'!F39</f>
        <v>1.9786910197869059E-2</v>
      </c>
      <c r="F39" s="19">
        <f>('Question 4 (Data)'!G51-'Question 4 (Data)'!G39)/'Question 4 (Data)'!G39</f>
        <v>4.5304777594728167E-2</v>
      </c>
      <c r="G39" s="19">
        <f>('Question 4 (Data)'!H51-'Question 4 (Data)'!H39)/'Question 4 (Data)'!H39</f>
        <v>4.5841111802530525E-2</v>
      </c>
      <c r="H39" s="19">
        <f>('Question 4 (Data)'!I51-'Question 4 (Data)'!I39)/'Question 4 (Data)'!I39</f>
        <v>3.4099920697858936E-2</v>
      </c>
    </row>
    <row r="40" spans="1:8" ht="14.4" x14ac:dyDescent="0.3">
      <c r="A40" s="2">
        <v>2017</v>
      </c>
      <c r="B40" s="2" t="s">
        <v>31</v>
      </c>
      <c r="C40" s="3">
        <v>42736</v>
      </c>
      <c r="D40" s="2" t="str">
        <f t="shared" si="0"/>
        <v>Pre-Covid</v>
      </c>
      <c r="E40" s="19">
        <f>('Question 4 (Data)'!F52-'Question 4 (Data)'!F40)/'Question 4 (Data)'!F40</f>
        <v>1.3709063214013578E-2</v>
      </c>
      <c r="F40" s="19">
        <f>('Question 4 (Data)'!G52-'Question 4 (Data)'!G40)/'Question 4 (Data)'!G40</f>
        <v>4.1803278688524542E-2</v>
      </c>
      <c r="G40" s="19">
        <f>('Question 4 (Data)'!H52-'Question 4 (Data)'!H40)/'Question 4 (Data)'!H40</f>
        <v>4.7983453981385704E-2</v>
      </c>
      <c r="H40" s="19">
        <f>('Question 4 (Data)'!I52-'Question 4 (Data)'!I40)/'Question 4 (Data)'!I40</f>
        <v>3.1670625494853638E-2</v>
      </c>
    </row>
    <row r="41" spans="1:8" ht="14.4" x14ac:dyDescent="0.3">
      <c r="A41" s="2">
        <v>2017</v>
      </c>
      <c r="B41" s="2" t="s">
        <v>35</v>
      </c>
      <c r="C41" s="3">
        <v>42767</v>
      </c>
      <c r="D41" s="2" t="str">
        <f t="shared" si="0"/>
        <v>Pre-Covid</v>
      </c>
      <c r="E41" s="19">
        <f>('Question 4 (Data)'!F53-'Question 4 (Data)'!F41)/'Question 4 (Data)'!F41</f>
        <v>2.3864511162432597E-2</v>
      </c>
      <c r="F41" s="19">
        <f>('Question 4 (Data)'!G53-'Question 4 (Data)'!G41)/'Question 4 (Data)'!G41</f>
        <v>4.0000000000000049E-2</v>
      </c>
      <c r="G41" s="19">
        <f>('Question 4 (Data)'!H53-'Question 4 (Data)'!H41)/'Question 4 (Data)'!H41</f>
        <v>4.8815653964984412E-2</v>
      </c>
      <c r="H41" s="19">
        <f>('Question 4 (Data)'!I53-'Question 4 (Data)'!I41)/'Question 4 (Data)'!I41</f>
        <v>3.6507936507936462E-2</v>
      </c>
    </row>
    <row r="42" spans="1:8" ht="14.4" x14ac:dyDescent="0.3">
      <c r="A42" s="2">
        <v>2017</v>
      </c>
      <c r="B42" s="2" t="s">
        <v>36</v>
      </c>
      <c r="C42" s="3">
        <v>42795</v>
      </c>
      <c r="D42" s="2" t="str">
        <f t="shared" si="0"/>
        <v>Pre-Covid</v>
      </c>
      <c r="E42" s="19">
        <f>('Question 4 (Data)'!F54-'Question 4 (Data)'!F42)/'Question 4 (Data)'!F42</f>
        <v>2.5423728813559188E-2</v>
      </c>
      <c r="F42" s="19">
        <f>('Question 4 (Data)'!G54-'Question 4 (Data)'!G42)/'Question 4 (Data)'!G42</f>
        <v>3.9869812855980402E-2</v>
      </c>
      <c r="G42" s="19">
        <f>('Question 4 (Data)'!H54-'Question 4 (Data)'!H42)/'Question 4 (Data)'!H42</f>
        <v>5.4627911770768908E-2</v>
      </c>
      <c r="H42" s="19">
        <f>('Question 4 (Data)'!I54-'Question 4 (Data)'!I42)/'Question 4 (Data)'!I42</f>
        <v>3.8888888888888931E-2</v>
      </c>
    </row>
    <row r="43" spans="1:8" ht="14.4" x14ac:dyDescent="0.3">
      <c r="A43" s="2">
        <v>2017</v>
      </c>
      <c r="B43" s="2" t="s">
        <v>37</v>
      </c>
      <c r="C43" s="3">
        <v>42826</v>
      </c>
      <c r="D43" s="2" t="str">
        <f t="shared" si="0"/>
        <v>Pre-Covid</v>
      </c>
      <c r="E43" s="19">
        <f>('Question 4 (Data)'!F55-'Question 4 (Data)'!F43)/'Question 4 (Data)'!F43</f>
        <v>1.2898330804248775E-2</v>
      </c>
      <c r="F43" s="19">
        <f>('Question 4 (Data)'!G55-'Question 4 (Data)'!G43)/'Question 4 (Data)'!G43</f>
        <v>3.9772727272727203E-2</v>
      </c>
      <c r="G43" s="19">
        <f>('Question 4 (Data)'!H55-'Question 4 (Data)'!H43)/'Question 4 (Data)'!H43</f>
        <v>5.1055977035062733E-2</v>
      </c>
      <c r="H43" s="19">
        <f>('Question 4 (Data)'!I55-'Question 4 (Data)'!I43)/'Question 4 (Data)'!I43</f>
        <v>2.9850746268656695E-2</v>
      </c>
    </row>
    <row r="44" spans="1:8" ht="14.4" x14ac:dyDescent="0.3">
      <c r="A44" s="2">
        <v>2017</v>
      </c>
      <c r="B44" s="2" t="s">
        <v>38</v>
      </c>
      <c r="C44" s="3">
        <v>42856</v>
      </c>
      <c r="D44" s="2" t="str">
        <f t="shared" si="0"/>
        <v>Pre-Covid</v>
      </c>
      <c r="E44" s="19">
        <f>('Question 4 (Data)'!F56-'Question 4 (Data)'!F44)/'Question 4 (Data)'!F44</f>
        <v>-2.2388059701493384E-3</v>
      </c>
      <c r="F44" s="19">
        <f>('Question 4 (Data)'!G56-'Question 4 (Data)'!G44)/'Question 4 (Data)'!G44</f>
        <v>3.7995149555375932E-2</v>
      </c>
      <c r="G44" s="19">
        <f>('Question 4 (Data)'!H56-'Question 4 (Data)'!H44)/'Question 4 (Data)'!H44</f>
        <v>4.6938775510204082E-2</v>
      </c>
      <c r="H44" s="19">
        <f>('Question 4 (Data)'!I56-'Question 4 (Data)'!I44)/'Question 4 (Data)'!I44</f>
        <v>2.1772939346811911E-2</v>
      </c>
    </row>
    <row r="45" spans="1:8" ht="14.4" x14ac:dyDescent="0.3">
      <c r="A45" s="2">
        <v>2017</v>
      </c>
      <c r="B45" s="2" t="s">
        <v>39</v>
      </c>
      <c r="C45" s="3">
        <v>42887</v>
      </c>
      <c r="D45" s="2" t="str">
        <f t="shared" si="0"/>
        <v>Pre-Covid</v>
      </c>
      <c r="E45" s="19">
        <f>('Question 4 (Data)'!F57-'Question 4 (Data)'!F45)/'Question 4 (Data)'!F45</f>
        <v>-1.1695906432748704E-2</v>
      </c>
      <c r="F45" s="19">
        <f>('Question 4 (Data)'!G57-'Question 4 (Data)'!G45)/'Question 4 (Data)'!G45</f>
        <v>3.5455278001611648E-2</v>
      </c>
      <c r="G45" s="19">
        <f>('Question 4 (Data)'!H57-'Question 4 (Data)'!H45)/'Question 4 (Data)'!H45</f>
        <v>3.9374873147960288E-2</v>
      </c>
      <c r="H45" s="19">
        <f>('Question 4 (Data)'!I57-'Question 4 (Data)'!I45)/'Question 4 (Data)'!I45</f>
        <v>1.4604150653343625E-2</v>
      </c>
    </row>
    <row r="46" spans="1:8" ht="14.4" x14ac:dyDescent="0.3">
      <c r="A46" s="2">
        <v>2017</v>
      </c>
      <c r="B46" s="2" t="s">
        <v>40</v>
      </c>
      <c r="C46" s="3">
        <v>42917</v>
      </c>
      <c r="D46" s="2" t="str">
        <f t="shared" si="0"/>
        <v>Pre-Covid</v>
      </c>
      <c r="E46" s="19">
        <f>('Question 4 (Data)'!F58-'Question 4 (Data)'!F46)/'Question 4 (Data)'!F46</f>
        <v>4.3352601156068952E-3</v>
      </c>
      <c r="F46" s="19">
        <f>('Question 4 (Data)'!G58-'Question 4 (Data)'!G46)/'Question 4 (Data)'!G46</f>
        <v>3.9357429718875549E-2</v>
      </c>
      <c r="G46" s="19">
        <f>('Question 4 (Data)'!H58-'Question 4 (Data)'!H46)/'Question 4 (Data)'!H46</f>
        <v>4.1051567239635905E-2</v>
      </c>
      <c r="H46" s="19">
        <f>('Question 4 (Data)'!I58-'Question 4 (Data)'!I46)/'Question 4 (Data)'!I46</f>
        <v>2.3646071700991568E-2</v>
      </c>
    </row>
    <row r="47" spans="1:8" ht="14.4" x14ac:dyDescent="0.3">
      <c r="A47" s="2">
        <v>2017</v>
      </c>
      <c r="B47" s="2" t="s">
        <v>41</v>
      </c>
      <c r="C47" s="3">
        <v>42948</v>
      </c>
      <c r="D47" s="2" t="str">
        <f t="shared" si="0"/>
        <v>Pre-Covid</v>
      </c>
      <c r="E47" s="19">
        <f>('Question 4 (Data)'!F59-'Question 4 (Data)'!F47)/'Question 4 (Data)'!F47</f>
        <v>1.9579405366207312E-2</v>
      </c>
      <c r="F47" s="19">
        <f>('Question 4 (Data)'!G59-'Question 4 (Data)'!G47)/'Question 4 (Data)'!G47</f>
        <v>4.3269230769230699E-2</v>
      </c>
      <c r="G47" s="19">
        <f>('Question 4 (Data)'!H59-'Question 4 (Data)'!H47)/'Question 4 (Data)'!H47</f>
        <v>4.7205971353641504E-2</v>
      </c>
      <c r="H47" s="19">
        <f>('Question 4 (Data)'!I59-'Question 4 (Data)'!I47)/'Question 4 (Data)'!I47</f>
        <v>3.2799389778794902E-2</v>
      </c>
    </row>
    <row r="48" spans="1:8" ht="14.4" x14ac:dyDescent="0.3">
      <c r="A48" s="2">
        <v>2017</v>
      </c>
      <c r="B48" s="2" t="s">
        <v>42</v>
      </c>
      <c r="C48" s="3">
        <v>42979</v>
      </c>
      <c r="D48" s="2" t="str">
        <f t="shared" si="0"/>
        <v>Pre-Covid</v>
      </c>
      <c r="E48" s="19">
        <f>('Question 4 (Data)'!F60-'Question 4 (Data)'!F48)/'Question 4 (Data)'!F48</f>
        <v>1.7569546120058607E-2</v>
      </c>
      <c r="F48" s="19">
        <f>('Question 4 (Data)'!G60-'Question 4 (Data)'!G48)/'Question 4 (Data)'!G48</f>
        <v>4.1467304625199271E-2</v>
      </c>
      <c r="G48" s="19">
        <f>('Question 4 (Data)'!H60-'Question 4 (Data)'!H48)/'Question 4 (Data)'!H48</f>
        <v>4.8785384460951521E-2</v>
      </c>
      <c r="H48" s="19">
        <f>('Question 4 (Data)'!I60-'Question 4 (Data)'!I48)/'Question 4 (Data)'!I48</f>
        <v>3.2849503437738597E-2</v>
      </c>
    </row>
    <row r="49" spans="1:8" ht="14.4" x14ac:dyDescent="0.3">
      <c r="A49" s="2">
        <v>2017</v>
      </c>
      <c r="B49" s="2" t="s">
        <v>43</v>
      </c>
      <c r="C49" s="3">
        <v>43009</v>
      </c>
      <c r="D49" s="2" t="str">
        <f t="shared" si="0"/>
        <v>Pre-Covid</v>
      </c>
      <c r="E49" s="19">
        <f>('Question 4 (Data)'!F61-'Question 4 (Data)'!F49)/'Question 4 (Data)'!F49</f>
        <v>2.2627737226277332E-2</v>
      </c>
      <c r="F49" s="19">
        <f>('Question 4 (Data)'!G61-'Question 4 (Data)'!G49)/'Question 4 (Data)'!G49</f>
        <v>4.1237113402061994E-2</v>
      </c>
      <c r="G49" s="19">
        <f>('Question 4 (Data)'!H61-'Question 4 (Data)'!H49)/'Question 4 (Data)'!H49</f>
        <v>4.9141030763084237E-2</v>
      </c>
      <c r="H49" s="19">
        <f>('Question 4 (Data)'!I61-'Question 4 (Data)'!I49)/'Question 4 (Data)'!I49</f>
        <v>3.5768645357686368E-2</v>
      </c>
    </row>
    <row r="50" spans="1:8" ht="14.4" x14ac:dyDescent="0.3">
      <c r="A50" s="2">
        <v>2017</v>
      </c>
      <c r="B50" s="2" t="s">
        <v>44</v>
      </c>
      <c r="C50" s="3">
        <v>43040</v>
      </c>
      <c r="D50" s="2" t="str">
        <f t="shared" si="0"/>
        <v>Pre-Covid</v>
      </c>
      <c r="E50" s="19">
        <f>('Question 4 (Data)'!F62-'Question 4 (Data)'!F50)/'Question 4 (Data)'!F50</f>
        <v>4.4085231447465102E-2</v>
      </c>
      <c r="F50" s="19">
        <f>('Question 4 (Data)'!G62-'Question 4 (Data)'!G50)/'Question 4 (Data)'!G50</f>
        <v>4.9050632911392313E-2</v>
      </c>
      <c r="G50" s="19">
        <f>('Question 4 (Data)'!H62-'Question 4 (Data)'!H50)/'Question 4 (Data)'!H50</f>
        <v>5.6108237166732973E-2</v>
      </c>
      <c r="H50" s="19">
        <f>('Question 4 (Data)'!I62-'Question 4 (Data)'!I50)/'Question 4 (Data)'!I50</f>
        <v>4.8780487804878099E-2</v>
      </c>
    </row>
    <row r="51" spans="1:8" ht="14.4" x14ac:dyDescent="0.3">
      <c r="A51" s="2">
        <v>2017</v>
      </c>
      <c r="B51" s="2" t="s">
        <v>45</v>
      </c>
      <c r="C51" s="3">
        <v>43070</v>
      </c>
      <c r="D51" s="2" t="str">
        <f t="shared" si="0"/>
        <v>Pre-Covid</v>
      </c>
      <c r="E51" s="19">
        <f>('Question 4 (Data)'!F63-'Question 4 (Data)'!F51)/'Question 4 (Data)'!F51</f>
        <v>4.8507462686567165E-2</v>
      </c>
      <c r="F51" s="19">
        <f>('Question 4 (Data)'!G63-'Question 4 (Data)'!G51)/'Question 4 (Data)'!G51</f>
        <v>4.8857368006304087E-2</v>
      </c>
      <c r="G51" s="19">
        <f>('Question 4 (Data)'!H63-'Question 4 (Data)'!H51)/'Question 4 (Data)'!H51</f>
        <v>5.6525188417294842E-2</v>
      </c>
      <c r="H51" s="19">
        <f>('Question 4 (Data)'!I63-'Question 4 (Data)'!I51)/'Question 4 (Data)'!I51</f>
        <v>5.2147239263803546E-2</v>
      </c>
    </row>
    <row r="52" spans="1:8" ht="14.4" x14ac:dyDescent="0.3">
      <c r="A52" s="2">
        <v>2018</v>
      </c>
      <c r="B52" s="2" t="s">
        <v>31</v>
      </c>
      <c r="C52" s="3">
        <v>43101</v>
      </c>
      <c r="D52" s="2" t="str">
        <f t="shared" si="0"/>
        <v>Pre-Covid</v>
      </c>
      <c r="E52" s="19">
        <f>('Question 4 (Data)'!F64-'Question 4 (Data)'!F52)/'Question 4 (Data)'!F52</f>
        <v>4.5830202854996199E-2</v>
      </c>
      <c r="F52" s="19">
        <f>('Question 4 (Data)'!G64-'Question 4 (Data)'!G52)/'Question 4 (Data)'!G52</f>
        <v>4.8780487804878182E-2</v>
      </c>
      <c r="G52" s="19">
        <f>('Question 4 (Data)'!H64-'Question 4 (Data)'!H52)/'Question 4 (Data)'!H52</f>
        <v>5.6443655022695806E-2</v>
      </c>
      <c r="H52" s="19">
        <f>('Question 4 (Data)'!I64-'Question 4 (Data)'!I52)/'Question 4 (Data)'!I52</f>
        <v>5.0652340752110468E-2</v>
      </c>
    </row>
    <row r="53" spans="1:8" ht="14.4" x14ac:dyDescent="0.3">
      <c r="A53" s="2">
        <v>2018</v>
      </c>
      <c r="B53" s="2" t="s">
        <v>35</v>
      </c>
      <c r="C53" s="3">
        <v>43132</v>
      </c>
      <c r="D53" s="2" t="str">
        <f t="shared" si="0"/>
        <v>Pre-Covid</v>
      </c>
      <c r="E53" s="19">
        <f>('Question 4 (Data)'!F65-'Question 4 (Data)'!F53)/'Question 4 (Data)'!F53</f>
        <v>3.4586466165413492E-2</v>
      </c>
      <c r="F53" s="19">
        <f>('Question 4 (Data)'!G65-'Question 4 (Data)'!G53)/'Question 4 (Data)'!G53</f>
        <v>5.0235478806907423E-2</v>
      </c>
      <c r="G53" s="19">
        <f>('Question 4 (Data)'!H65-'Question 4 (Data)'!H53)/'Question 4 (Data)'!H53</f>
        <v>5.4988216810683659E-2</v>
      </c>
      <c r="H53" s="19">
        <f>('Question 4 (Data)'!I65-'Question 4 (Data)'!I53)/'Question 4 (Data)'!I53</f>
        <v>4.441041347626349E-2</v>
      </c>
    </row>
    <row r="54" spans="1:8" ht="14.4" x14ac:dyDescent="0.3">
      <c r="A54" s="2">
        <v>2018</v>
      </c>
      <c r="B54" s="2" t="s">
        <v>36</v>
      </c>
      <c r="C54" s="3">
        <v>43160</v>
      </c>
      <c r="D54" s="2" t="str">
        <f t="shared" si="0"/>
        <v>Pre-Covid</v>
      </c>
      <c r="E54" s="19">
        <f>('Question 4 (Data)'!F66-'Question 4 (Data)'!F54)/'Question 4 (Data)'!F54</f>
        <v>3.0803906836964646E-2</v>
      </c>
      <c r="F54" s="19">
        <f>('Question 4 (Data)'!G66-'Question 4 (Data)'!G54)/'Question 4 (Data)'!G54</f>
        <v>5.0860719874804491E-2</v>
      </c>
      <c r="G54" s="19">
        <f>('Question 4 (Data)'!H66-'Question 4 (Data)'!H54)/'Question 4 (Data)'!H54</f>
        <v>5.4143862392494004E-2</v>
      </c>
      <c r="H54" s="19">
        <f>('Question 4 (Data)'!I66-'Question 4 (Data)'!I54)/'Question 4 (Data)'!I54</f>
        <v>4.278074866310156E-2</v>
      </c>
    </row>
    <row r="55" spans="1:8" ht="14.4" x14ac:dyDescent="0.3">
      <c r="A55" s="2">
        <v>2018</v>
      </c>
      <c r="B55" s="2" t="s">
        <v>37</v>
      </c>
      <c r="C55" s="3">
        <v>43191</v>
      </c>
      <c r="D55" s="2" t="str">
        <f t="shared" si="0"/>
        <v>Pre-Covid</v>
      </c>
      <c r="E55" s="19">
        <f>('Question 4 (Data)'!F67-'Question 4 (Data)'!F55)/'Question 4 (Data)'!F55</f>
        <v>2.9962546816479401E-2</v>
      </c>
      <c r="F55" s="19">
        <f>('Question 4 (Data)'!G67-'Question 4 (Data)'!G55)/'Question 4 (Data)'!G55</f>
        <v>5.5425448868071776E-2</v>
      </c>
      <c r="G55" s="19">
        <f>('Question 4 (Data)'!H67-'Question 4 (Data)'!H55)/'Question 4 (Data)'!H55</f>
        <v>5.8720249707373988E-2</v>
      </c>
      <c r="H55" s="19">
        <f>('Question 4 (Data)'!I67-'Question 4 (Data)'!I55)/'Question 4 (Data)'!I55</f>
        <v>4.5766590389016024E-2</v>
      </c>
    </row>
    <row r="56" spans="1:8" ht="14.4" x14ac:dyDescent="0.3">
      <c r="A56" s="2">
        <v>2018</v>
      </c>
      <c r="B56" s="2" t="s">
        <v>38</v>
      </c>
      <c r="C56" s="3">
        <v>43221</v>
      </c>
      <c r="D56" s="2" t="str">
        <f t="shared" ref="D56:D115" si="9">IF(C56&lt;DATE(2020,3,1),"Pre-Covid","Post-Covid")</f>
        <v>Pre-Covid</v>
      </c>
      <c r="E56" s="19">
        <f>('Question 4 (Data)'!F68-'Question 4 (Data)'!F56)/'Question 4 (Data)'!F56</f>
        <v>3.2909498878085308E-2</v>
      </c>
      <c r="F56" s="19">
        <f>('Question 4 (Data)'!G68-'Question 4 (Data)'!G56)/'Question 4 (Data)'!G56</f>
        <v>5.9190031152647926E-2</v>
      </c>
      <c r="G56" s="19">
        <f>('Question 4 (Data)'!H68-'Question 4 (Data)'!H56)/'Question 4 (Data)'!H56</f>
        <v>6.2573099415204725E-2</v>
      </c>
      <c r="H56" s="19">
        <f>('Question 4 (Data)'!I68-'Question 4 (Data)'!I56)/'Question 4 (Data)'!I56</f>
        <v>4.8706240487062444E-2</v>
      </c>
    </row>
    <row r="57" spans="1:8" ht="14.4" x14ac:dyDescent="0.3">
      <c r="A57" s="2">
        <v>2018</v>
      </c>
      <c r="B57" s="2" t="s">
        <v>39</v>
      </c>
      <c r="C57" s="3">
        <v>43252</v>
      </c>
      <c r="D57" s="2" t="str">
        <f t="shared" si="9"/>
        <v>Pre-Covid</v>
      </c>
      <c r="E57" s="19">
        <f>('Question 4 (Data)'!F69-'Question 4 (Data)'!F57)/'Question 4 (Data)'!F57</f>
        <v>3.1065088757396577E-2</v>
      </c>
      <c r="F57" s="19">
        <f>('Question 4 (Data)'!G69-'Question 4 (Data)'!G57)/'Question 4 (Data)'!G57</f>
        <v>5.992217898832676E-2</v>
      </c>
      <c r="G57" s="19">
        <f>('Question 4 (Data)'!H69-'Question 4 (Data)'!H57)/'Question 4 (Data)'!H57</f>
        <v>6.8346026166764301E-2</v>
      </c>
      <c r="H57" s="19">
        <f>('Question 4 (Data)'!I69-'Question 4 (Data)'!I57)/'Question 4 (Data)'!I57</f>
        <v>4.924242424242424E-2</v>
      </c>
    </row>
    <row r="58" spans="1:8" ht="14.4" x14ac:dyDescent="0.3">
      <c r="A58" s="2">
        <v>2018</v>
      </c>
      <c r="B58" s="2" t="s">
        <v>40</v>
      </c>
      <c r="C58" s="3">
        <v>43282</v>
      </c>
      <c r="D58" s="2" t="str">
        <f t="shared" si="9"/>
        <v>Pre-Covid</v>
      </c>
      <c r="E58" s="19">
        <f>('Question 4 (Data)'!F70-'Question 4 (Data)'!F58)/'Question 4 (Data)'!F58</f>
        <v>1.7266187050359753E-2</v>
      </c>
      <c r="F58" s="19">
        <f>('Question 4 (Data)'!G70-'Question 4 (Data)'!G58)/'Question 4 (Data)'!G58</f>
        <v>5.8732612055641377E-2</v>
      </c>
      <c r="G58" s="19">
        <f>('Question 4 (Data)'!H70-'Question 4 (Data)'!H58)/'Question 4 (Data)'!H58</f>
        <v>7.1484071484071404E-2</v>
      </c>
      <c r="H58" s="19">
        <f>('Question 4 (Data)'!I70-'Question 4 (Data)'!I58)/'Question 4 (Data)'!I58</f>
        <v>4.172876304023862E-2</v>
      </c>
    </row>
    <row r="59" spans="1:8" ht="14.4" x14ac:dyDescent="0.3">
      <c r="A59" s="2">
        <v>2018</v>
      </c>
      <c r="B59" s="2" t="s">
        <v>41</v>
      </c>
      <c r="C59" s="3">
        <v>43313</v>
      </c>
      <c r="D59" s="2" t="str">
        <f t="shared" si="9"/>
        <v>Pre-Covid</v>
      </c>
      <c r="E59" s="19">
        <f>('Question 4 (Data)'!F71-'Question 4 (Data)'!F59)/'Question 4 (Data)'!F59</f>
        <v>7.8236130867709412E-3</v>
      </c>
      <c r="F59" s="19">
        <f>('Question 4 (Data)'!G71-'Question 4 (Data)'!G59)/'Question 4 (Data)'!G59</f>
        <v>5.7603686635944708E-2</v>
      </c>
      <c r="G59" s="19">
        <f>('Question 4 (Data)'!H71-'Question 4 (Data)'!H59)/'Question 4 (Data)'!H59</f>
        <v>7.06992872278943E-2</v>
      </c>
      <c r="H59" s="19">
        <f>('Question 4 (Data)'!I71-'Question 4 (Data)'!I59)/'Question 4 (Data)'!I59</f>
        <v>3.6927621861152143E-2</v>
      </c>
    </row>
    <row r="60" spans="1:8" ht="14.4" x14ac:dyDescent="0.3">
      <c r="A60" s="2">
        <v>2018</v>
      </c>
      <c r="B60" s="2" t="s">
        <v>42</v>
      </c>
      <c r="C60" s="3">
        <v>43344</v>
      </c>
      <c r="D60" s="2" t="str">
        <f t="shared" si="9"/>
        <v>Pre-Covid</v>
      </c>
      <c r="E60" s="19">
        <f>('Question 4 (Data)'!F72-'Question 4 (Data)'!F60)/'Question 4 (Data)'!F60</f>
        <v>1.0071942446043206E-2</v>
      </c>
      <c r="F60" s="19">
        <f>('Question 4 (Data)'!G72-'Question 4 (Data)'!G60)/'Question 4 (Data)'!G60</f>
        <v>5.9724349157733628E-2</v>
      </c>
      <c r="G60" s="19">
        <f>('Question 4 (Data)'!H72-'Question 4 (Data)'!H60)/'Question 4 (Data)'!H60</f>
        <v>7.159264931087285E-2</v>
      </c>
      <c r="H60" s="19">
        <f>('Question 4 (Data)'!I72-'Question 4 (Data)'!I60)/'Question 4 (Data)'!I60</f>
        <v>3.6982248520710061E-2</v>
      </c>
    </row>
    <row r="61" spans="1:8" ht="14.4" x14ac:dyDescent="0.3">
      <c r="A61" s="2">
        <v>2018</v>
      </c>
      <c r="B61" s="2" t="s">
        <v>43</v>
      </c>
      <c r="C61" s="3">
        <v>43374</v>
      </c>
      <c r="D61" s="2" t="str">
        <f t="shared" si="9"/>
        <v>Pre-Covid</v>
      </c>
      <c r="E61" s="19">
        <f>('Question 4 (Data)'!F73-'Question 4 (Data)'!F61)/'Question 4 (Data)'!F61</f>
        <v>-2.8551034975018252E-3</v>
      </c>
      <c r="F61" s="19">
        <f>('Question 4 (Data)'!G73-'Question 4 (Data)'!G61)/'Question 4 (Data)'!G61</f>
        <v>8.2254379284082121E-2</v>
      </c>
      <c r="G61" s="19">
        <f>('Question 4 (Data)'!H73-'Question 4 (Data)'!H61)/'Question 4 (Data)'!H61</f>
        <v>7.673267326732687E-2</v>
      </c>
      <c r="H61" s="19">
        <f>('Question 4 (Data)'!I73-'Question 4 (Data)'!I61)/'Question 4 (Data)'!I61</f>
        <v>3.4533431300514457E-2</v>
      </c>
    </row>
    <row r="62" spans="1:8" ht="14.4" x14ac:dyDescent="0.3">
      <c r="A62" s="2">
        <v>2018</v>
      </c>
      <c r="B62" s="2" t="s">
        <v>44</v>
      </c>
      <c r="C62" s="3">
        <v>43405</v>
      </c>
      <c r="D62" s="2" t="str">
        <f t="shared" si="9"/>
        <v>Pre-Covid</v>
      </c>
      <c r="E62" s="19">
        <f>('Question 4 (Data)'!F74-'Question 4 (Data)'!F62)/'Question 4 (Data)'!F62</f>
        <v>-1.6889514426460282E-2</v>
      </c>
      <c r="F62" s="19">
        <f>('Question 4 (Data)'!G74-'Question 4 (Data)'!G62)/'Question 4 (Data)'!G62</f>
        <v>7.1644042232277536E-2</v>
      </c>
      <c r="G62" s="19">
        <f>('Question 4 (Data)'!H74-'Question 4 (Data)'!H62)/'Question 4 (Data)'!H62</f>
        <v>6.4996232102486812E-2</v>
      </c>
      <c r="H62" s="19">
        <f>('Question 4 (Data)'!I74-'Question 4 (Data)'!I62)/'Question 4 (Data)'!I62</f>
        <v>2.3255813953488497E-2</v>
      </c>
    </row>
    <row r="63" spans="1:8" ht="14.4" x14ac:dyDescent="0.3">
      <c r="A63" s="2">
        <v>2018</v>
      </c>
      <c r="B63" s="2" t="s">
        <v>45</v>
      </c>
      <c r="C63" s="3">
        <v>43435</v>
      </c>
      <c r="D63" s="2" t="str">
        <f t="shared" si="9"/>
        <v>Pre-Covid</v>
      </c>
      <c r="E63" s="19">
        <f>('Question 4 (Data)'!F75-'Question 4 (Data)'!F63)/'Question 4 (Data)'!F63</f>
        <v>-1.6370106761565917E-2</v>
      </c>
      <c r="F63" s="19">
        <f>('Question 4 (Data)'!G75-'Question 4 (Data)'!G63)/'Question 4 (Data)'!G63</f>
        <v>8.865514650638627E-2</v>
      </c>
      <c r="G63" s="19">
        <f>('Question 4 (Data)'!H75-'Question 4 (Data)'!H63)/'Question 4 (Data)'!H63</f>
        <v>5.6692322132532252E-2</v>
      </c>
      <c r="H63" s="19">
        <f>('Question 4 (Data)'!I75-'Question 4 (Data)'!I63)/'Question 4 (Data)'!I63</f>
        <v>2.1137026239067099E-2</v>
      </c>
    </row>
    <row r="64" spans="1:8" ht="14.4" x14ac:dyDescent="0.3">
      <c r="A64" s="2">
        <v>2019</v>
      </c>
      <c r="B64" s="2" t="s">
        <v>31</v>
      </c>
      <c r="C64" s="3">
        <v>43466</v>
      </c>
      <c r="D64" s="2" t="str">
        <f t="shared" si="9"/>
        <v>Pre-Covid</v>
      </c>
      <c r="E64" s="19">
        <f>('Question 4 (Data)'!F76-'Question 4 (Data)'!F64)/'Question 4 (Data)'!F64</f>
        <v>-1.2931034482758499E-2</v>
      </c>
      <c r="F64" s="19">
        <f>('Question 4 (Data)'!G76-'Question 4 (Data)'!G64)/'Question 4 (Data)'!G64</f>
        <v>8.8522130532633025E-2</v>
      </c>
      <c r="G64" s="19">
        <f>('Question 4 (Data)'!H76-'Question 4 (Data)'!H64)/'Question 4 (Data)'!H64</f>
        <v>4.7450028021670053E-2</v>
      </c>
      <c r="H64" s="19">
        <f>('Question 4 (Data)'!I76-'Question 4 (Data)'!I64)/'Question 4 (Data)'!I64</f>
        <v>1.9722425127830449E-2</v>
      </c>
    </row>
    <row r="65" spans="1:8" ht="14.4" x14ac:dyDescent="0.3">
      <c r="A65" s="2">
        <v>2019</v>
      </c>
      <c r="B65" s="2" t="s">
        <v>35</v>
      </c>
      <c r="C65" s="3">
        <v>43497</v>
      </c>
      <c r="D65" s="2" t="str">
        <f t="shared" si="9"/>
        <v>Pre-Covid</v>
      </c>
      <c r="E65" s="19">
        <f>('Question 4 (Data)'!F77-'Question 4 (Data)'!F65)/'Question 4 (Data)'!F65</f>
        <v>-7.2674418604647031E-4</v>
      </c>
      <c r="F65" s="19">
        <f>('Question 4 (Data)'!G77-'Question 4 (Data)'!G65)/'Question 4 (Data)'!G65</f>
        <v>8.8191330343796573E-2</v>
      </c>
      <c r="G65" s="19">
        <f>('Question 4 (Data)'!H77-'Question 4 (Data)'!H65)/'Question 4 (Data)'!H65</f>
        <v>4.4489947877885287E-2</v>
      </c>
      <c r="H65" s="19">
        <f>('Question 4 (Data)'!I77-'Question 4 (Data)'!I65)/'Question 4 (Data)'!I65</f>
        <v>2.5659824046920819E-2</v>
      </c>
    </row>
    <row r="66" spans="1:8" ht="14.4" x14ac:dyDescent="0.3">
      <c r="A66" s="2">
        <v>2019</v>
      </c>
      <c r="B66" s="2" t="s">
        <v>36</v>
      </c>
      <c r="C66" s="3">
        <v>43525</v>
      </c>
      <c r="D66" s="2" t="str">
        <f t="shared" si="9"/>
        <v>Pre-Covid</v>
      </c>
      <c r="E66" s="19">
        <f>('Question 4 (Data)'!F78-'Question 4 (Data)'!F66)/'Question 4 (Data)'!F66</f>
        <v>6.5597667638484384E-3</v>
      </c>
      <c r="F66" s="19">
        <f>('Question 4 (Data)'!G78-'Question 4 (Data)'!G66)/'Question 4 (Data)'!G66</f>
        <v>8.8607594936708681E-2</v>
      </c>
      <c r="G66" s="19">
        <f>('Question 4 (Data)'!H78-'Question 4 (Data)'!H66)/'Question 4 (Data)'!H66</f>
        <v>4.5058409048767054E-2</v>
      </c>
      <c r="H66" s="19">
        <f>('Question 4 (Data)'!I78-'Question 4 (Data)'!I66)/'Question 4 (Data)'!I66</f>
        <v>2.8571428571428612E-2</v>
      </c>
    </row>
    <row r="67" spans="1:8" ht="14.4" x14ac:dyDescent="0.3">
      <c r="A67" s="2">
        <v>2019</v>
      </c>
      <c r="B67" s="2" t="s">
        <v>38</v>
      </c>
      <c r="C67" s="3">
        <v>43556</v>
      </c>
      <c r="D67" s="2" t="str">
        <f t="shared" si="9"/>
        <v>Pre-Covid</v>
      </c>
      <c r="E67" s="19">
        <f>('Question 4 (Data)'!F79-'Question 4 (Data)'!F67)/'Question 4 (Data)'!F67</f>
        <v>2.4727272727272768E-2</v>
      </c>
      <c r="F67" s="19">
        <f>('Question 4 (Data)'!G79-'Question 4 (Data)'!G67)/'Question 4 (Data)'!G67</f>
        <v>8.6538461538461675E-2</v>
      </c>
      <c r="G67" s="19">
        <f>('Question 4 (Data)'!H79-'Question 4 (Data)'!H67)/'Question 4 (Data)'!H67</f>
        <v>4.4591855537129257E-2</v>
      </c>
      <c r="H67" s="19">
        <f>('Question 4 (Data)'!I79-'Question 4 (Data)'!I67)/'Question 4 (Data)'!I67</f>
        <v>3.5740335521517182E-2</v>
      </c>
    </row>
    <row r="68" spans="1:8" ht="14.4" x14ac:dyDescent="0.3">
      <c r="A68" s="2">
        <v>2019</v>
      </c>
      <c r="B68" s="2" t="s">
        <v>39</v>
      </c>
      <c r="C68" s="3">
        <v>43586</v>
      </c>
      <c r="D68" s="2" t="str">
        <f t="shared" si="9"/>
        <v>Pre-Covid</v>
      </c>
      <c r="E68" s="19">
        <f>('Question 4 (Data)'!F80-'Question 4 (Data)'!F68)/'Question 4 (Data)'!F68</f>
        <v>3.3309196234612558E-2</v>
      </c>
      <c r="F68" s="19">
        <f>('Question 4 (Data)'!G80-'Question 4 (Data)'!G68)/'Question 4 (Data)'!G68</f>
        <v>8.3823529411764741E-2</v>
      </c>
      <c r="G68" s="19">
        <f>('Question 4 (Data)'!H80-'Question 4 (Data)'!H68)/'Question 4 (Data)'!H68</f>
        <v>4.1460282516969406E-2</v>
      </c>
      <c r="H68" s="19">
        <f>('Question 4 (Data)'!I80-'Question 4 (Data)'!I68)/'Question 4 (Data)'!I68</f>
        <v>3.7010159651669039E-2</v>
      </c>
    </row>
    <row r="69" spans="1:8" ht="14.4" x14ac:dyDescent="0.3">
      <c r="A69" s="2">
        <v>2019</v>
      </c>
      <c r="B69" s="2" t="s">
        <v>40</v>
      </c>
      <c r="C69" s="3">
        <v>43617</v>
      </c>
      <c r="D69" s="2" t="str">
        <f t="shared" si="9"/>
        <v>Pre-Covid</v>
      </c>
      <c r="E69" s="19">
        <f>('Question 4 (Data)'!F81-'Question 4 (Data)'!F69)/'Question 4 (Data)'!F69</f>
        <v>3.8020086083213653E-2</v>
      </c>
      <c r="F69" s="19">
        <f>('Question 4 (Data)'!G81-'Question 4 (Data)'!G69)/'Question 4 (Data)'!G69</f>
        <v>8.5903083700440655E-2</v>
      </c>
      <c r="G69" s="19">
        <f>('Question 4 (Data)'!H81-'Question 4 (Data)'!H69)/'Question 4 (Data)'!H69</f>
        <v>4.0943154816304103E-2</v>
      </c>
      <c r="H69" s="19">
        <f>('Question 4 (Data)'!I81-'Question 4 (Data)'!I69)/'Question 4 (Data)'!I69</f>
        <v>4.115523465703963E-2</v>
      </c>
    </row>
    <row r="70" spans="1:8" ht="14.4" x14ac:dyDescent="0.3">
      <c r="A70" s="2">
        <v>2019</v>
      </c>
      <c r="B70" s="2" t="s">
        <v>41</v>
      </c>
      <c r="C70" s="3">
        <v>43647</v>
      </c>
      <c r="D70" s="2" t="str">
        <f t="shared" si="9"/>
        <v>Pre-Covid</v>
      </c>
      <c r="E70" s="19">
        <f>('Question 4 (Data)'!F82-'Question 4 (Data)'!F70)/'Question 4 (Data)'!F70</f>
        <v>3.182461103253182E-2</v>
      </c>
      <c r="F70" s="19">
        <f>('Question 4 (Data)'!G82-'Question 4 (Data)'!G70)/'Question 4 (Data)'!G70</f>
        <v>8.3941605839416053E-2</v>
      </c>
      <c r="G70" s="19">
        <f>('Question 4 (Data)'!H82-'Question 4 (Data)'!H70)/'Question 4 (Data)'!H70</f>
        <v>3.4807831762146572E-2</v>
      </c>
      <c r="H70" s="19">
        <f>('Question 4 (Data)'!I82-'Question 4 (Data)'!I70)/'Question 4 (Data)'!I70</f>
        <v>3.7195994277539259E-2</v>
      </c>
    </row>
    <row r="71" spans="1:8" ht="14.4" x14ac:dyDescent="0.3">
      <c r="A71" s="2">
        <v>2019</v>
      </c>
      <c r="B71" s="2" t="s">
        <v>42</v>
      </c>
      <c r="C71" s="3">
        <v>43678</v>
      </c>
      <c r="D71" s="2" t="str">
        <f t="shared" si="9"/>
        <v>Pre-Covid</v>
      </c>
      <c r="E71" s="19">
        <f>('Question 4 (Data)'!F83-'Question 4 (Data)'!F71)/'Question 4 (Data)'!F71</f>
        <v>3.7402964008468681E-2</v>
      </c>
      <c r="F71" s="19">
        <f>('Question 4 (Data)'!G83-'Question 4 (Data)'!G71)/'Question 4 (Data)'!G71</f>
        <v>8.2062454611474309E-2</v>
      </c>
      <c r="G71" s="19">
        <f>('Question 4 (Data)'!H83-'Question 4 (Data)'!H71)/'Question 4 (Data)'!H71</f>
        <v>3.0406621086721805E-2</v>
      </c>
      <c r="H71" s="19">
        <f>('Question 4 (Data)'!I83-'Question 4 (Data)'!I71)/'Question 4 (Data)'!I71</f>
        <v>3.8461538461538498E-2</v>
      </c>
    </row>
    <row r="72" spans="1:8" ht="14.4" x14ac:dyDescent="0.3">
      <c r="A72" s="2">
        <v>2019</v>
      </c>
      <c r="B72" s="2" t="s">
        <v>43</v>
      </c>
      <c r="C72" s="3">
        <v>43709</v>
      </c>
      <c r="D72" s="2" t="str">
        <f t="shared" si="9"/>
        <v>Pre-Covid</v>
      </c>
      <c r="E72" s="19">
        <f>('Question 4 (Data)'!F84-'Question 4 (Data)'!F72)/'Question 4 (Data)'!F72</f>
        <v>6.5527065527065442E-2</v>
      </c>
      <c r="F72" s="19">
        <f>('Question 4 (Data)'!G84-'Question 4 (Data)'!G72)/'Question 4 (Data)'!G72</f>
        <v>7.947976878612717E-2</v>
      </c>
      <c r="G72" s="19">
        <f>('Question 4 (Data)'!H84-'Question 4 (Data)'!H72)/'Question 4 (Data)'!H72</f>
        <v>2.7688460164344411E-2</v>
      </c>
      <c r="H72" s="19">
        <f>('Question 4 (Data)'!I84-'Question 4 (Data)'!I72)/'Question 4 (Data)'!I72</f>
        <v>4.9928673323823114E-2</v>
      </c>
    </row>
    <row r="73" spans="1:8" ht="14.4" x14ac:dyDescent="0.3">
      <c r="A73" s="2">
        <v>2019</v>
      </c>
      <c r="B73" s="2" t="s">
        <v>44</v>
      </c>
      <c r="C73" s="3">
        <v>43739</v>
      </c>
      <c r="D73" s="2" t="str">
        <f t="shared" si="9"/>
        <v>Pre-Covid</v>
      </c>
      <c r="E73" s="19">
        <f>('Question 4 (Data)'!F85-'Question 4 (Data)'!F73)/'Question 4 (Data)'!F73</f>
        <v>8.7329992841803997E-2</v>
      </c>
      <c r="F73" s="19">
        <f>('Question 4 (Data)'!G85-'Question 4 (Data)'!G73)/'Question 4 (Data)'!G73</f>
        <v>5.4890921885995862E-2</v>
      </c>
      <c r="G73" s="19">
        <f>('Question 4 (Data)'!H85-'Question 4 (Data)'!H73)/'Question 4 (Data)'!H73</f>
        <v>2.1927497789566715E-2</v>
      </c>
      <c r="H73" s="19">
        <f>('Question 4 (Data)'!I85-'Question 4 (Data)'!I73)/'Question 4 (Data)'!I73</f>
        <v>5.5397727272727147E-2</v>
      </c>
    </row>
    <row r="74" spans="1:8" ht="14.4" x14ac:dyDescent="0.3">
      <c r="A74" s="2">
        <v>2019</v>
      </c>
      <c r="B74" s="2" t="s">
        <v>45</v>
      </c>
      <c r="C74" s="3">
        <v>43770</v>
      </c>
      <c r="D74" s="2" t="str">
        <f t="shared" si="9"/>
        <v>Pre-Covid</v>
      </c>
      <c r="E74" s="19">
        <f>('Question 4 (Data)'!F86-'Question 4 (Data)'!F74)/'Question 4 (Data)'!F74</f>
        <v>0.10952040085898362</v>
      </c>
      <c r="F74" s="19">
        <f>('Question 4 (Data)'!G86-'Question 4 (Data)'!G74)/'Question 4 (Data)'!G74</f>
        <v>5.8409570724841743E-2</v>
      </c>
      <c r="G74" s="19">
        <f>('Question 4 (Data)'!H86-'Question 4 (Data)'!H74)/'Question 4 (Data)'!H74</f>
        <v>2.9541836193171848E-2</v>
      </c>
      <c r="H74" s="19">
        <f>('Question 4 (Data)'!I86-'Question 4 (Data)'!I74)/'Question 4 (Data)'!I74</f>
        <v>6.8181818181818135E-2</v>
      </c>
    </row>
    <row r="75" spans="1:8" ht="14.4" x14ac:dyDescent="0.3">
      <c r="A75" s="2">
        <v>2020</v>
      </c>
      <c r="B75" s="2" t="s">
        <v>31</v>
      </c>
      <c r="C75" s="3">
        <v>43800</v>
      </c>
      <c r="D75" s="2" t="str">
        <f t="shared" si="9"/>
        <v>Pre-Covid</v>
      </c>
      <c r="E75" s="19">
        <f>('Question 4 (Data)'!F87-'Question 4 (Data)'!F75)/'Question 4 (Data)'!F75</f>
        <v>0.11070911722141832</v>
      </c>
      <c r="F75" s="19">
        <f>('Question 4 (Data)'!G87-'Question 4 (Data)'!G75)/'Question 4 (Data)'!G75</f>
        <v>4.3478260869565098E-2</v>
      </c>
      <c r="G75" s="19">
        <f>('Question 4 (Data)'!H87-'Question 4 (Data)'!H75)/'Question 4 (Data)'!H75</f>
        <v>4.0149227216201851E-2</v>
      </c>
      <c r="H75" s="19">
        <f>('Question 4 (Data)'!I87-'Question 4 (Data)'!I75)/'Question 4 (Data)'!I75</f>
        <v>7.2091363311920023E-2</v>
      </c>
    </row>
    <row r="76" spans="1:8" ht="14.4" x14ac:dyDescent="0.3">
      <c r="A76" s="2">
        <v>2020</v>
      </c>
      <c r="B76" s="2" t="s">
        <v>35</v>
      </c>
      <c r="C76" s="3">
        <v>43831</v>
      </c>
      <c r="D76" s="2" t="str">
        <f t="shared" si="9"/>
        <v>Pre-Covid</v>
      </c>
      <c r="E76" s="19">
        <f>('Question 4 (Data)'!F88-'Question 4 (Data)'!F76)/'Question 4 (Data)'!F76</f>
        <v>9.5342066957787436E-2</v>
      </c>
      <c r="F76" s="19">
        <f>('Question 4 (Data)'!G88-'Question 4 (Data)'!G76)/'Question 4 (Data)'!G76</f>
        <v>4.5485871812543037E-2</v>
      </c>
      <c r="G76" s="19">
        <f>('Question 4 (Data)'!H88-'Question 4 (Data)'!H76)/'Question 4 (Data)'!H76</f>
        <v>4.9580881041555329E-2</v>
      </c>
      <c r="H76" s="19">
        <f>('Question 4 (Data)'!I88-'Question 4 (Data)'!I76)/'Question 4 (Data)'!I76</f>
        <v>6.8051575931232094E-2</v>
      </c>
    </row>
    <row r="77" spans="1:8" ht="14.4" x14ac:dyDescent="0.3">
      <c r="A77" s="2">
        <v>2020</v>
      </c>
      <c r="B77" s="2" t="s">
        <v>36</v>
      </c>
      <c r="C77" s="3">
        <v>43862</v>
      </c>
      <c r="D77" s="2" t="str">
        <f t="shared" si="9"/>
        <v>Pre-Covid</v>
      </c>
      <c r="E77" s="19">
        <f>('Question 4 (Data)'!F89-'Question 4 (Data)'!F77)/'Question 4 (Data)'!F77</f>
        <v>8.2909090909090946E-2</v>
      </c>
      <c r="F77" s="19">
        <f>('Question 4 (Data)'!G89-'Question 4 (Data)'!G77)/'Question 4 (Data)'!G77</f>
        <v>4.6016483516483637E-2</v>
      </c>
      <c r="G77" s="19">
        <f>('Question 4 (Data)'!H89-'Question 4 (Data)'!H77)/'Question 4 (Data)'!H77</f>
        <v>5.0436642309748626E-2</v>
      </c>
      <c r="H77" s="19">
        <f>('Question 4 (Data)'!I89-'Question 4 (Data)'!I77)/'Question 4 (Data)'!I77</f>
        <v>6.2187276626161463E-2</v>
      </c>
    </row>
    <row r="78" spans="1:8" ht="14.4" x14ac:dyDescent="0.3">
      <c r="A78" s="2">
        <v>2020</v>
      </c>
      <c r="B78" s="2" t="s">
        <v>37</v>
      </c>
      <c r="C78" s="3">
        <v>43891</v>
      </c>
      <c r="D78" s="2" t="str">
        <f t="shared" si="9"/>
        <v>Post-Covid</v>
      </c>
      <c r="E78" s="19">
        <f>('Question 4 (Data)'!F90-'Question 4 (Data)'!F78)/'Question 4 (Data)'!F78</f>
        <v>9.6307023895727817E-2</v>
      </c>
      <c r="F78" s="19">
        <f>('Question 4 (Data)'!G90-'Question 4 (Data)'!G78)/'Question 4 (Data)'!G78</f>
        <v>3.0779753761969907E-2</v>
      </c>
      <c r="G78" s="19">
        <f>('Question 4 (Data)'!H90-'Question 4 (Data)'!H78)/'Question 4 (Data)'!H78</f>
        <v>7.2775715831480707E-3</v>
      </c>
      <c r="H78" s="19">
        <f>('Question 4 (Data)'!I90-'Question 4 (Data)'!I78)/'Question 4 (Data)'!I78</f>
        <v>-5.4878333566859118E-3</v>
      </c>
    </row>
    <row r="79" spans="1:8" ht="14.4" x14ac:dyDescent="0.3">
      <c r="A79" s="2">
        <v>2020</v>
      </c>
      <c r="B79" s="2" t="s">
        <v>38</v>
      </c>
      <c r="C79" s="3">
        <v>43922</v>
      </c>
      <c r="D79" s="2" t="str">
        <f t="shared" si="9"/>
        <v>Post-Covid</v>
      </c>
      <c r="E79" s="19">
        <f>('Question 4 (Data)'!F91-'Question 4 (Data)'!F79)/'Question 4 (Data)'!F79</f>
        <v>1.0132308562262609E-2</v>
      </c>
      <c r="F79" s="19">
        <f>('Question 4 (Data)'!G91-'Question 4 (Data)'!G79)/'Question 4 (Data)'!G79</f>
        <v>-5.3612047352604414E-2</v>
      </c>
      <c r="G79" s="19">
        <f>('Question 4 (Data)'!H91-'Question 4 (Data)'!H79)/'Question 4 (Data)'!H79</f>
        <v>-1.2297638714843684E-2</v>
      </c>
      <c r="H79" s="19">
        <f>('Question 4 (Data)'!I91-'Question 4 (Data)'!I79)/'Question 4 (Data)'!I79</f>
        <v>-1.6693604248441525E-2</v>
      </c>
    </row>
    <row r="80" spans="1:8" ht="14.4" x14ac:dyDescent="0.3">
      <c r="A80" s="2">
        <v>2020</v>
      </c>
      <c r="B80" s="2" t="s">
        <v>39</v>
      </c>
      <c r="C80" s="3">
        <v>43952</v>
      </c>
      <c r="D80" s="2" t="str">
        <f t="shared" si="9"/>
        <v>Post-Covid</v>
      </c>
      <c r="E80" s="19">
        <f>('Question 4 (Data)'!F92-'Question 4 (Data)'!F80)/'Question 4 (Data)'!F80</f>
        <v>7.9187105816398123E-2</v>
      </c>
      <c r="F80" s="19">
        <f>('Question 4 (Data)'!G92-'Question 4 (Data)'!G80)/'Question 4 (Data)'!G80</f>
        <v>4.7489823609226593E-2</v>
      </c>
      <c r="G80" s="19">
        <f>('Question 4 (Data)'!H92-'Question 4 (Data)'!H80)/'Question 4 (Data)'!H80</f>
        <v>3.5758323057953061E-2</v>
      </c>
      <c r="H80" s="19">
        <f>('Question 4 (Data)'!I92-'Question 4 (Data)'!I80)/'Question 4 (Data)'!I80</f>
        <v>6.2281315605318445E-2</v>
      </c>
    </row>
    <row r="81" spans="1:8" ht="14.4" x14ac:dyDescent="0.3">
      <c r="A81" s="2">
        <v>2020</v>
      </c>
      <c r="B81" s="2" t="s">
        <v>40</v>
      </c>
      <c r="C81" s="3">
        <v>43983</v>
      </c>
      <c r="D81" s="2" t="str">
        <f t="shared" si="9"/>
        <v>Post-Covid</v>
      </c>
      <c r="E81" s="19">
        <f>('Question 4 (Data)'!F93-'Question 4 (Data)'!F81)/'Question 4 (Data)'!F81</f>
        <v>6.4270905321354613E-2</v>
      </c>
      <c r="F81" s="19">
        <f>('Question 4 (Data)'!G93-'Question 4 (Data)'!G81)/'Question 4 (Data)'!G81</f>
        <v>4.3948613928329952E-2</v>
      </c>
      <c r="G81" s="19">
        <f>('Question 4 (Data)'!H93-'Question 4 (Data)'!H81)/'Question 4 (Data)'!H81</f>
        <v>3.2484635645302899E-2</v>
      </c>
      <c r="H81" s="19">
        <f>('Question 4 (Data)'!I93-'Question 4 (Data)'!I81)/'Question 4 (Data)'!I81</f>
        <v>5.2704576976421801E-2</v>
      </c>
    </row>
    <row r="82" spans="1:8" ht="14.4" x14ac:dyDescent="0.3">
      <c r="A82" s="2">
        <v>2020</v>
      </c>
      <c r="B82" s="2" t="s">
        <v>41</v>
      </c>
      <c r="C82" s="3">
        <v>44013</v>
      </c>
      <c r="D82" s="2" t="str">
        <f t="shared" si="9"/>
        <v>Post-Covid</v>
      </c>
      <c r="E82" s="19">
        <f>('Question 4 (Data)'!F94-'Question 4 (Data)'!F82)/'Question 4 (Data)'!F82</f>
        <v>7.607950651130907E-2</v>
      </c>
      <c r="F82" s="19">
        <f>('Question 4 (Data)'!G94-'Question 4 (Data)'!G82)/'Question 4 (Data)'!G82</f>
        <v>4.3771043771043773E-2</v>
      </c>
      <c r="G82" s="19">
        <f>('Question 4 (Data)'!H94-'Question 4 (Data)'!H82)/'Question 4 (Data)'!H82</f>
        <v>4.3272599859845912E-2</v>
      </c>
      <c r="H82" s="19">
        <f>('Question 4 (Data)'!I94-'Question 4 (Data)'!I82)/'Question 4 (Data)'!I82</f>
        <v>6.1379310344827624E-2</v>
      </c>
    </row>
    <row r="83" spans="1:8" ht="14.4" x14ac:dyDescent="0.3">
      <c r="A83" s="2">
        <v>2020</v>
      </c>
      <c r="B83" s="2" t="s">
        <v>42</v>
      </c>
      <c r="C83" s="3">
        <v>44044</v>
      </c>
      <c r="D83" s="2" t="str">
        <f t="shared" si="9"/>
        <v>Post-Covid</v>
      </c>
      <c r="E83" s="19">
        <f>('Question 4 (Data)'!F95-'Question 4 (Data)'!F83)/'Question 4 (Data)'!F83</f>
        <v>7.4829931972789115E-2</v>
      </c>
      <c r="F83" s="19">
        <f>('Question 4 (Data)'!G95-'Question 4 (Data)'!G83)/'Question 4 (Data)'!G83</f>
        <v>4.4295302013422778E-2</v>
      </c>
      <c r="G83" s="19">
        <f>('Question 4 (Data)'!H95-'Question 4 (Data)'!H83)/'Question 4 (Data)'!H83</f>
        <v>4.1208311506897397E-2</v>
      </c>
      <c r="H83" s="19">
        <f>('Question 4 (Data)'!I95-'Question 4 (Data)'!I83)/'Question 4 (Data)'!I83</f>
        <v>6.1042524005486806E-2</v>
      </c>
    </row>
    <row r="84" spans="1:8" ht="14.4" x14ac:dyDescent="0.3">
      <c r="A84" s="2">
        <v>2020</v>
      </c>
      <c r="B84" s="2" t="s">
        <v>43</v>
      </c>
      <c r="C84" s="3">
        <v>44075</v>
      </c>
      <c r="D84" s="2" t="str">
        <f t="shared" si="9"/>
        <v>Post-Covid</v>
      </c>
      <c r="E84" s="19">
        <f>('Question 4 (Data)'!F96-'Question 4 (Data)'!F84)/'Question 4 (Data)'!F84</f>
        <v>7.8877005347593662E-2</v>
      </c>
      <c r="F84" s="19">
        <f>('Question 4 (Data)'!G96-'Question 4 (Data)'!G84)/'Question 4 (Data)'!G84</f>
        <v>4.6184738955823326E-2</v>
      </c>
      <c r="G84" s="19">
        <f>('Question 4 (Data)'!H96-'Question 4 (Data)'!H84)/'Question 4 (Data)'!H84</f>
        <v>4.067443073179227E-2</v>
      </c>
      <c r="H84" s="19">
        <f>('Question 4 (Data)'!I96-'Question 4 (Data)'!I84)/'Question 4 (Data)'!I84</f>
        <v>6.2500000000000125E-2</v>
      </c>
    </row>
    <row r="85" spans="1:8" ht="14.4" x14ac:dyDescent="0.3">
      <c r="A85" s="2">
        <v>2020</v>
      </c>
      <c r="B85" s="2" t="s">
        <v>44</v>
      </c>
      <c r="C85" s="3">
        <v>44105</v>
      </c>
      <c r="D85" s="2" t="str">
        <f t="shared" si="9"/>
        <v>Post-Covid</v>
      </c>
      <c r="E85" s="19">
        <f>('Question 4 (Data)'!F97-'Question 4 (Data)'!F85)/'Question 4 (Data)'!F85</f>
        <v>8.4265964450296132E-2</v>
      </c>
      <c r="F85" s="19">
        <f>('Question 4 (Data)'!G97-'Question 4 (Data)'!G85)/'Question 4 (Data)'!G85</f>
        <v>4.8699132755169995E-2</v>
      </c>
      <c r="G85" s="19">
        <f>('Question 4 (Data)'!H97-'Question 4 (Data)'!H85)/'Question 4 (Data)'!H85</f>
        <v>3.9280152275480269E-2</v>
      </c>
      <c r="H85" s="19">
        <f>('Question 4 (Data)'!I97-'Question 4 (Data)'!I85)/'Question 4 (Data)'!I85</f>
        <v>6.5948855989232918E-2</v>
      </c>
    </row>
    <row r="86" spans="1:8" ht="14.4" x14ac:dyDescent="0.3">
      <c r="A86" s="2">
        <v>2020</v>
      </c>
      <c r="B86" s="2" t="s">
        <v>45</v>
      </c>
      <c r="C86" s="3">
        <v>44136</v>
      </c>
      <c r="D86" s="2" t="str">
        <f t="shared" si="9"/>
        <v>Post-Covid</v>
      </c>
      <c r="E86" s="19">
        <f>('Question 4 (Data)'!F98-'Question 4 (Data)'!F86)/'Question 4 (Data)'!F86</f>
        <v>6.7096774193548425E-2</v>
      </c>
      <c r="F86" s="19">
        <f>('Question 4 (Data)'!G98-'Question 4 (Data)'!G86)/'Question 4 (Data)'!G86</f>
        <v>5.2526595744680889E-2</v>
      </c>
      <c r="G86" s="19">
        <f>('Question 4 (Data)'!H98-'Question 4 (Data)'!H86)/'Question 4 (Data)'!H86</f>
        <v>3.6254295532645892E-2</v>
      </c>
      <c r="H86" s="19">
        <f>('Question 4 (Data)'!I98-'Question 4 (Data)'!I86)/'Question 4 (Data)'!I86</f>
        <v>5.6515957446808505E-2</v>
      </c>
    </row>
    <row r="87" spans="1:8" ht="14.4" x14ac:dyDescent="0.3">
      <c r="A87" s="2">
        <v>2021</v>
      </c>
      <c r="B87" s="2" t="s">
        <v>31</v>
      </c>
      <c r="C87" s="3">
        <v>44166</v>
      </c>
      <c r="D87" s="2" t="str">
        <f t="shared" si="9"/>
        <v>Post-Covid</v>
      </c>
      <c r="E87" s="19">
        <f>('Question 4 (Data)'!F99-'Question 4 (Data)'!F87)/'Question 4 (Data)'!F87</f>
        <v>4.8859934853420196E-2</v>
      </c>
      <c r="F87" s="19">
        <f>('Question 4 (Data)'!G99-'Question 4 (Data)'!G87)/'Question 4 (Data)'!G87</f>
        <v>5.3571428571428728E-2</v>
      </c>
      <c r="G87" s="19">
        <f>('Question 4 (Data)'!H99-'Question 4 (Data)'!H87)/'Question 4 (Data)'!H87</f>
        <v>3.6208368915456951E-2</v>
      </c>
      <c r="H87" s="19">
        <f>('Question 4 (Data)'!I99-'Question 4 (Data)'!I87)/'Question 4 (Data)'!I87</f>
        <v>4.7270306258322389E-2</v>
      </c>
    </row>
    <row r="88" spans="1:8" ht="14.4" x14ac:dyDescent="0.3">
      <c r="A88" s="2">
        <v>2021</v>
      </c>
      <c r="B88" s="2" t="s">
        <v>35</v>
      </c>
      <c r="C88" s="3">
        <v>44197</v>
      </c>
      <c r="D88" s="2" t="str">
        <f t="shared" si="9"/>
        <v>Post-Covid</v>
      </c>
      <c r="E88" s="19">
        <f>('Question 4 (Data)'!F100-'Question 4 (Data)'!F88)/'Question 4 (Data)'!F88</f>
        <v>4.2524916943521632E-2</v>
      </c>
      <c r="F88" s="19">
        <f>('Question 4 (Data)'!G100-'Question 4 (Data)'!G88)/'Question 4 (Data)'!G88</f>
        <v>6.3282794990112218E-2</v>
      </c>
      <c r="G88" s="19">
        <f>('Question 4 (Data)'!H100-'Question 4 (Data)'!H88)/'Question 4 (Data)'!H88</f>
        <v>4.8088360237893063E-2</v>
      </c>
      <c r="H88" s="19">
        <f>('Question 4 (Data)'!I100-'Question 4 (Data)'!I88)/'Question 4 (Data)'!I88</f>
        <v>5.030181086519115E-2</v>
      </c>
    </row>
    <row r="89" spans="1:8" ht="14.4" x14ac:dyDescent="0.3">
      <c r="A89" s="2">
        <v>2021</v>
      </c>
      <c r="B89" s="2" t="s">
        <v>36</v>
      </c>
      <c r="C89" s="3">
        <v>44228</v>
      </c>
      <c r="D89" s="2" t="str">
        <f t="shared" si="9"/>
        <v>Post-Covid</v>
      </c>
      <c r="E89" s="19">
        <f>('Question 4 (Data)'!F101-'Question 4 (Data)'!F89)/'Question 4 (Data)'!F89</f>
        <v>5.2384150436534473E-2</v>
      </c>
      <c r="F89" s="19">
        <f>('Question 4 (Data)'!G101-'Question 4 (Data)'!G89)/'Question 4 (Data)'!G89</f>
        <v>6.1720288903479817E-2</v>
      </c>
      <c r="G89" s="19">
        <f>('Question 4 (Data)'!H101-'Question 4 (Data)'!H89)/'Question 4 (Data)'!H89</f>
        <v>5.4971157108924293E-2</v>
      </c>
      <c r="H89" s="19">
        <f>('Question 4 (Data)'!I101-'Question 4 (Data)'!I89)/'Question 4 (Data)'!I89</f>
        <v>5.5181695827725558E-2</v>
      </c>
    </row>
    <row r="90" spans="1:8" ht="14.4" x14ac:dyDescent="0.3">
      <c r="A90" s="2">
        <v>2021</v>
      </c>
      <c r="B90" s="2" t="s">
        <v>37</v>
      </c>
      <c r="C90" s="3">
        <v>44256</v>
      </c>
      <c r="D90" s="2" t="str">
        <f t="shared" si="9"/>
        <v>Post-Covid</v>
      </c>
      <c r="E90" s="19">
        <f>('Question 4 (Data)'!F102-'Question 4 (Data)'!F90)/'Question 4 (Data)'!F90</f>
        <v>4.3593130779392301E-2</v>
      </c>
      <c r="F90" s="19">
        <f>('Question 4 (Data)'!G102-'Question 4 (Data)'!G90)/'Question 4 (Data)'!G90</f>
        <v>7.6974120769741361E-2</v>
      </c>
      <c r="G90" s="19">
        <f>('Question 4 (Data)'!H102-'Question 4 (Data)'!H90)/'Question 4 (Data)'!H90</f>
        <v>9.8992775008807446E-2</v>
      </c>
      <c r="H90" s="19">
        <f>('Question 4 (Data)'!I102-'Question 4 (Data)'!I90)/'Question 4 (Data)'!I90</f>
        <v>0.13013360884777059</v>
      </c>
    </row>
    <row r="91" spans="1:8" ht="14.4" x14ac:dyDescent="0.3">
      <c r="A91" s="2">
        <v>2021</v>
      </c>
      <c r="B91" s="2" t="s">
        <v>38</v>
      </c>
      <c r="C91" s="3">
        <v>44287</v>
      </c>
      <c r="D91" s="2" t="str">
        <f t="shared" si="9"/>
        <v>Post-Covid</v>
      </c>
      <c r="E91" s="19">
        <f>('Question 4 (Data)'!F103-'Question 4 (Data)'!F91)/'Question 4 (Data)'!F91</f>
        <v>0.12908495798655298</v>
      </c>
      <c r="F91" s="19">
        <f>('Question 4 (Data)'!G103-'Question 4 (Data)'!G91)/'Question 4 (Data)'!G91</f>
        <v>0.19259649122807046</v>
      </c>
      <c r="G91" s="19">
        <f>('Question 4 (Data)'!H103-'Question 4 (Data)'!H91)/'Question 4 (Data)'!H91</f>
        <v>0.1271082564596164</v>
      </c>
      <c r="H91" s="19">
        <f>('Question 4 (Data)'!I103-'Question 4 (Data)'!I91)/'Question 4 (Data)'!I91</f>
        <v>0.14875431469697337</v>
      </c>
    </row>
    <row r="92" spans="1:8" ht="14.4" x14ac:dyDescent="0.3">
      <c r="A92" s="2">
        <v>2021</v>
      </c>
      <c r="B92" s="2" t="s">
        <v>39</v>
      </c>
      <c r="C92" s="3">
        <v>44317</v>
      </c>
      <c r="D92" s="2" t="str">
        <f t="shared" si="9"/>
        <v>Post-Covid</v>
      </c>
      <c r="E92" s="19">
        <f>('Question 4 (Data)'!F104-'Question 4 (Data)'!F92)/'Question 4 (Data)'!F92</f>
        <v>5.5844155844155807E-2</v>
      </c>
      <c r="F92" s="19">
        <f>('Question 4 (Data)'!G104-'Question 4 (Data)'!G92)/'Question 4 (Data)'!G92</f>
        <v>7.7072538860103665E-2</v>
      </c>
      <c r="G92" s="19">
        <f>('Question 4 (Data)'!H104-'Question 4 (Data)'!H92)/'Question 4 (Data)'!H92</f>
        <v>7.6020408163265385E-2</v>
      </c>
      <c r="H92" s="19">
        <f>('Question 4 (Data)'!I104-'Question 4 (Data)'!I92)/'Question 4 (Data)'!I92</f>
        <v>6.2582345191040833E-2</v>
      </c>
    </row>
    <row r="93" spans="1:8" ht="14.4" x14ac:dyDescent="0.3">
      <c r="A93" s="2">
        <v>2021</v>
      </c>
      <c r="B93" s="2" t="s">
        <v>40</v>
      </c>
      <c r="C93" s="3">
        <v>44348</v>
      </c>
      <c r="D93" s="2" t="str">
        <f t="shared" si="9"/>
        <v>Post-Covid</v>
      </c>
      <c r="E93" s="19">
        <f>('Question 4 (Data)'!F105-'Question 4 (Data)'!F93)/'Question 4 (Data)'!F93</f>
        <v>6.4935064935064929E-2</v>
      </c>
      <c r="F93" s="19">
        <f>('Question 4 (Data)'!G105-'Question 4 (Data)'!G93)/'Question 4 (Data)'!G93</f>
        <v>8.1606217616580268E-2</v>
      </c>
      <c r="G93" s="19">
        <f>('Question 4 (Data)'!H105-'Question 4 (Data)'!H93)/'Question 4 (Data)'!H93</f>
        <v>8.5884353741496597E-2</v>
      </c>
      <c r="H93" s="19">
        <f>('Question 4 (Data)'!I105-'Question 4 (Data)'!I93)/'Question 4 (Data)'!I93</f>
        <v>7.0487483530961709E-2</v>
      </c>
    </row>
    <row r="94" spans="1:8" ht="14.4" x14ac:dyDescent="0.3">
      <c r="A94" s="2">
        <v>2021</v>
      </c>
      <c r="B94" s="2" t="s">
        <v>41</v>
      </c>
      <c r="C94" s="3">
        <v>44378</v>
      </c>
      <c r="D94" s="2" t="str">
        <f t="shared" si="9"/>
        <v>Post-Covid</v>
      </c>
      <c r="E94" s="19">
        <f>('Question 4 (Data)'!F106-'Question 4 (Data)'!F94)/'Question 4 (Data)'!F94</f>
        <v>4.4585987261146494E-2</v>
      </c>
      <c r="F94" s="19">
        <f>('Question 4 (Data)'!G106-'Question 4 (Data)'!G94)/'Question 4 (Data)'!G94</f>
        <v>8.6451612903225838E-2</v>
      </c>
      <c r="G94" s="19">
        <f>('Question 4 (Data)'!H106-'Question 4 (Data)'!H94)/'Question 4 (Data)'!H94</f>
        <v>7.8925272879932826E-2</v>
      </c>
      <c r="H94" s="19">
        <f>('Question 4 (Data)'!I106-'Question 4 (Data)'!I94)/'Question 4 (Data)'!I94</f>
        <v>6.0428849902533999E-2</v>
      </c>
    </row>
    <row r="95" spans="1:8" ht="14.4" x14ac:dyDescent="0.3">
      <c r="A95" s="2">
        <v>2021</v>
      </c>
      <c r="B95" s="2" t="s">
        <v>42</v>
      </c>
      <c r="C95" s="3">
        <v>44409</v>
      </c>
      <c r="D95" s="2" t="str">
        <f t="shared" si="9"/>
        <v>Post-Covid</v>
      </c>
      <c r="E95" s="19">
        <f>('Question 4 (Data)'!F107-'Question 4 (Data)'!F95)/'Question 4 (Data)'!F95</f>
        <v>3.7974683544303799E-2</v>
      </c>
      <c r="F95" s="19">
        <f>('Question 4 (Data)'!G107-'Question 4 (Data)'!G95)/'Question 4 (Data)'!G95</f>
        <v>8.2262210796915244E-2</v>
      </c>
      <c r="G95" s="19">
        <f>('Question 4 (Data)'!H107-'Question 4 (Data)'!H95)/'Question 4 (Data)'!H95</f>
        <v>7.7310078819386049E-2</v>
      </c>
      <c r="H95" s="19">
        <f>('Question 4 (Data)'!I107-'Question 4 (Data)'!I95)/'Question 4 (Data)'!I95</f>
        <v>5.4945054945054951E-2</v>
      </c>
    </row>
    <row r="96" spans="1:8" ht="14.4" x14ac:dyDescent="0.3">
      <c r="A96" s="2">
        <v>2021</v>
      </c>
      <c r="B96" s="2" t="s">
        <v>43</v>
      </c>
      <c r="C96" s="3">
        <v>44440</v>
      </c>
      <c r="D96" s="2" t="str">
        <f t="shared" si="9"/>
        <v>Post-Covid</v>
      </c>
      <c r="E96" s="19">
        <f>('Question 4 (Data)'!F108-'Question 4 (Data)'!F96)/'Question 4 (Data)'!F96</f>
        <v>3.9033457249070522E-2</v>
      </c>
      <c r="F96" s="19">
        <f>('Question 4 (Data)'!G108-'Question 4 (Data)'!G96)/'Question 4 (Data)'!G96</f>
        <v>8.189379398592439E-2</v>
      </c>
      <c r="G96" s="19">
        <f>('Question 4 (Data)'!H108-'Question 4 (Data)'!H96)/'Question 4 (Data)'!H96</f>
        <v>8.1342909637547714E-2</v>
      </c>
      <c r="H96" s="19">
        <f>('Question 4 (Data)'!I108-'Question 4 (Data)'!I96)/'Question 4 (Data)'!I96</f>
        <v>5.8184143222506354E-2</v>
      </c>
    </row>
    <row r="97" spans="1:8" ht="14.4" x14ac:dyDescent="0.3">
      <c r="A97" s="2">
        <v>2021</v>
      </c>
      <c r="B97" s="2" t="s">
        <v>44</v>
      </c>
      <c r="C97" s="3">
        <v>44470</v>
      </c>
      <c r="D97" s="2" t="str">
        <f t="shared" si="9"/>
        <v>Post-Covid</v>
      </c>
      <c r="E97" s="19">
        <f>('Question 4 (Data)'!F109-'Question 4 (Data)'!F97)/'Question 4 (Data)'!F97</f>
        <v>3.0358227079538558E-2</v>
      </c>
      <c r="F97" s="19">
        <f>('Question 4 (Data)'!G109-'Question 4 (Data)'!G97)/'Question 4 (Data)'!G97</f>
        <v>8.0788804071246931E-2</v>
      </c>
      <c r="G97" s="19">
        <f>('Question 4 (Data)'!H109-'Question 4 (Data)'!H97)/'Question 4 (Data)'!H97</f>
        <v>7.7589077589077626E-2</v>
      </c>
      <c r="H97" s="19">
        <f>('Question 4 (Data)'!I109-'Question 4 (Data)'!I97)/'Question 4 (Data)'!I97</f>
        <v>5.2398989898989792E-2</v>
      </c>
    </row>
    <row r="98" spans="1:8" ht="14.4" x14ac:dyDescent="0.3">
      <c r="A98" s="2">
        <v>2021</v>
      </c>
      <c r="B98" s="2" t="s">
        <v>45</v>
      </c>
      <c r="C98" s="3">
        <v>44501</v>
      </c>
      <c r="D98" s="2" t="str">
        <f t="shared" si="9"/>
        <v>Post-Covid</v>
      </c>
      <c r="E98" s="19">
        <f>('Question 4 (Data)'!F110-'Question 4 (Data)'!F98)/'Question 4 (Data)'!F98</f>
        <v>1.6928657799274383E-2</v>
      </c>
      <c r="F98" s="19">
        <f>('Question 4 (Data)'!G110-'Question 4 (Data)'!G98)/'Question 4 (Data)'!G98</f>
        <v>7.7700568540745307E-2</v>
      </c>
      <c r="G98" s="19">
        <f>('Question 4 (Data)'!H110-'Question 4 (Data)'!H98)/'Question 4 (Data)'!H98</f>
        <v>7.3785441883601408E-2</v>
      </c>
      <c r="H98" s="19">
        <f>('Question 4 (Data)'!I110-'Question 4 (Data)'!I98)/'Question 4 (Data)'!I98</f>
        <v>4.5940843297671383E-2</v>
      </c>
    </row>
    <row r="99" spans="1:8" ht="14.4" x14ac:dyDescent="0.3">
      <c r="A99" s="2">
        <v>2022</v>
      </c>
      <c r="B99" s="2" t="s">
        <v>31</v>
      </c>
      <c r="C99" s="3">
        <v>44531</v>
      </c>
      <c r="D99" s="2" t="str">
        <f t="shared" si="9"/>
        <v>Post-Covid</v>
      </c>
      <c r="E99" s="19">
        <f>('Question 4 (Data)'!F111-'Question 4 (Data)'!F99)/'Question 4 (Data)'!F99</f>
        <v>3.3540372670807492E-2</v>
      </c>
      <c r="F99" s="19">
        <f>('Question 4 (Data)'!G111-'Question 4 (Data)'!G99)/'Question 4 (Data)'!G99</f>
        <v>7.5957313245448799E-2</v>
      </c>
      <c r="G99" s="19">
        <f>('Question 4 (Data)'!H111-'Question 4 (Data)'!H99)/'Question 4 (Data)'!H99</f>
        <v>7.1204878852810169E-2</v>
      </c>
      <c r="H99" s="19">
        <f>('Question 4 (Data)'!I111-'Question 4 (Data)'!I99)/'Question 4 (Data)'!I99</f>
        <v>5.3401144310235071E-2</v>
      </c>
    </row>
    <row r="100" spans="1:8" ht="14.4" x14ac:dyDescent="0.3">
      <c r="A100" s="2">
        <v>2022</v>
      </c>
      <c r="B100" s="2" t="s">
        <v>35</v>
      </c>
      <c r="C100" s="3">
        <v>44562</v>
      </c>
      <c r="D100" s="2" t="str">
        <f t="shared" si="9"/>
        <v>Post-Covid</v>
      </c>
      <c r="E100" s="19">
        <f>('Question 4 (Data)'!F112-'Question 4 (Data)'!F100)/'Question 4 (Data)'!F100</f>
        <v>5.9273422562141381E-2</v>
      </c>
      <c r="F100" s="19">
        <f>('Question 4 (Data)'!G112-'Question 4 (Data)'!G100)/'Question 4 (Data)'!G100</f>
        <v>6.7575945443273264E-2</v>
      </c>
      <c r="G100" s="19">
        <f>('Question 4 (Data)'!H112-'Question 4 (Data)'!H100)/'Question 4 (Data)'!H100</f>
        <v>5.9500648508430495E-2</v>
      </c>
      <c r="H100" s="19">
        <f>('Question 4 (Data)'!I112-'Question 4 (Data)'!I100)/'Question 4 (Data)'!I100</f>
        <v>6.066411238825032E-2</v>
      </c>
    </row>
    <row r="101" spans="1:8" ht="14.4" x14ac:dyDescent="0.3">
      <c r="A101" s="2">
        <v>2022</v>
      </c>
      <c r="B101" s="2" t="s">
        <v>36</v>
      </c>
      <c r="C101" s="3">
        <v>44593</v>
      </c>
      <c r="D101" s="2" t="str">
        <f t="shared" si="9"/>
        <v>Post-Covid</v>
      </c>
      <c r="E101" s="19">
        <f>('Question 4 (Data)'!F113-'Question 4 (Data)'!F101)/'Question 4 (Data)'!F101</f>
        <v>7.4664964901084985E-2</v>
      </c>
      <c r="F101" s="19">
        <f>('Question 4 (Data)'!G113-'Question 4 (Data)'!G101)/'Question 4 (Data)'!G101</f>
        <v>6.9882498453927105E-2</v>
      </c>
      <c r="G101" s="19">
        <f>('Question 4 (Data)'!H113-'Question 4 (Data)'!H101)/'Question 4 (Data)'!H101</f>
        <v>5.5644901897716349E-2</v>
      </c>
      <c r="H101" s="19">
        <f>('Question 4 (Data)'!I113-'Question 4 (Data)'!I101)/'Question 4 (Data)'!I101</f>
        <v>6.9515306122448828E-2</v>
      </c>
    </row>
    <row r="102" spans="1:8" ht="14.4" x14ac:dyDescent="0.3">
      <c r="A102" s="2">
        <v>2022</v>
      </c>
      <c r="B102" s="2" t="s">
        <v>37</v>
      </c>
      <c r="C102" s="3">
        <v>44621</v>
      </c>
      <c r="D102" s="2" t="str">
        <f t="shared" si="9"/>
        <v>Post-Covid</v>
      </c>
      <c r="E102" s="19">
        <f>('Question 4 (Data)'!F114-'Question 4 (Data)'!F102)/'Question 4 (Data)'!F102</f>
        <v>8.1012658227848172E-2</v>
      </c>
      <c r="F102" s="19">
        <f>('Question 4 (Data)'!G114-'Question 4 (Data)'!G102)/'Question 4 (Data)'!G102</f>
        <v>7.2088724584103439E-2</v>
      </c>
      <c r="G102" s="19">
        <f>('Question 4 (Data)'!H114-'Question 4 (Data)'!H102)/'Question 4 (Data)'!H102</f>
        <v>7.1806379227440403E-2</v>
      </c>
      <c r="H102" s="19">
        <f>('Question 4 (Data)'!I114-'Question 4 (Data)'!I102)/'Question 4 (Data)'!I102</f>
        <v>7.7946768060836391E-2</v>
      </c>
    </row>
    <row r="103" spans="1:8" ht="14.4" x14ac:dyDescent="0.3">
      <c r="A103" s="2">
        <v>2022</v>
      </c>
      <c r="B103" s="2" t="s">
        <v>38</v>
      </c>
      <c r="C103" s="3">
        <v>44652</v>
      </c>
      <c r="D103" s="2" t="str">
        <f t="shared" si="9"/>
        <v>Post-Covid</v>
      </c>
      <c r="E103" s="19">
        <f>('Question 4 (Data)'!F115-'Question 4 (Data)'!F103)/'Question 4 (Data)'!F103</f>
        <v>7.8406969508400898E-2</v>
      </c>
      <c r="F103" s="19">
        <f>('Question 4 (Data)'!G115-'Question 4 (Data)'!G103)/'Question 4 (Data)'!G103</f>
        <v>5.4282267792521106E-2</v>
      </c>
      <c r="G103" s="19">
        <f>('Question 4 (Data)'!H115-'Question 4 (Data)'!H103)/'Question 4 (Data)'!H103</f>
        <v>6.6392013943907424E-2</v>
      </c>
      <c r="H103" s="19">
        <f>('Question 4 (Data)'!I115-'Question 4 (Data)'!I103)/'Question 4 (Data)'!I103</f>
        <v>7.0448877805486171E-2</v>
      </c>
    </row>
    <row r="104" spans="1:8" ht="14.4" x14ac:dyDescent="0.3">
      <c r="A104" s="2">
        <v>2022</v>
      </c>
      <c r="B104" s="2" t="s">
        <v>39</v>
      </c>
      <c r="C104" s="3">
        <v>44682</v>
      </c>
      <c r="D104" s="2" t="str">
        <f t="shared" si="9"/>
        <v>Post-Covid</v>
      </c>
      <c r="E104" s="19">
        <f>('Question 4 (Data)'!F116-'Question 4 (Data)'!F104)/'Question 4 (Data)'!F104</f>
        <v>7.5645756457564647E-2</v>
      </c>
      <c r="F104" s="19">
        <f>('Question 4 (Data)'!G116-'Question 4 (Data)'!G104)/'Question 4 (Data)'!G104</f>
        <v>5.4720384846662619E-2</v>
      </c>
      <c r="G104" s="19">
        <f>('Question 4 (Data)'!H116-'Question 4 (Data)'!H104)/'Question 4 (Data)'!H104</f>
        <v>6.3537221431958169E-2</v>
      </c>
      <c r="H104" s="19">
        <f>('Question 4 (Data)'!I116-'Question 4 (Data)'!I104)/'Question 4 (Data)'!I104</f>
        <v>7.0055796652200755E-2</v>
      </c>
    </row>
    <row r="105" spans="1:8" ht="14.4" x14ac:dyDescent="0.3">
      <c r="A105" s="2">
        <v>2022</v>
      </c>
      <c r="B105" s="2" t="s">
        <v>40</v>
      </c>
      <c r="C105" s="3">
        <v>44713</v>
      </c>
      <c r="D105" s="2" t="str">
        <f t="shared" si="9"/>
        <v>Post-Covid</v>
      </c>
      <c r="E105" s="19">
        <f>('Question 4 (Data)'!F117-'Question 4 (Data)'!F105)/'Question 4 (Data)'!F105</f>
        <v>6.7073170731707321E-2</v>
      </c>
      <c r="F105" s="19">
        <f>('Question 4 (Data)'!G117-'Question 4 (Data)'!G105)/'Question 4 (Data)'!G105</f>
        <v>5.4491017964071825E-2</v>
      </c>
      <c r="G105" s="19">
        <f>('Question 4 (Data)'!H117-'Question 4 (Data)'!H105)/'Question 4 (Data)'!H105</f>
        <v>6.5622552858261518E-2</v>
      </c>
      <c r="H105" s="19">
        <f>('Question 4 (Data)'!I117-'Question 4 (Data)'!I105)/'Question 4 (Data)'!I105</f>
        <v>6.7076923076923117E-2</v>
      </c>
    </row>
    <row r="106" spans="1:8" ht="14.4" x14ac:dyDescent="0.3">
      <c r="A106" s="2">
        <v>2022</v>
      </c>
      <c r="B106" s="2" t="s">
        <v>41</v>
      </c>
      <c r="C106" s="3">
        <v>44743</v>
      </c>
      <c r="D106" s="2" t="str">
        <f t="shared" si="9"/>
        <v>Post-Covid</v>
      </c>
      <c r="E106" s="19">
        <f>('Question 4 (Data)'!F118-'Question 4 (Data)'!F106)/'Question 4 (Data)'!F106</f>
        <v>7.5000000000000067E-2</v>
      </c>
      <c r="F106" s="19">
        <f>('Question 4 (Data)'!G118-'Question 4 (Data)'!G106)/'Question 4 (Data)'!G106</f>
        <v>4.9881235154394334E-2</v>
      </c>
      <c r="G106" s="19">
        <f>('Question 4 (Data)'!H118-'Question 4 (Data)'!H106)/'Question 4 (Data)'!H106</f>
        <v>6.147859922178988E-2</v>
      </c>
      <c r="H106" s="19">
        <f>('Question 4 (Data)'!I118-'Question 4 (Data)'!I106)/'Question 4 (Data)'!I106</f>
        <v>6.8014705882353088E-2</v>
      </c>
    </row>
    <row r="107" spans="1:8" ht="14.4" x14ac:dyDescent="0.3">
      <c r="A107" s="2">
        <v>2022</v>
      </c>
      <c r="B107" s="2" t="s">
        <v>42</v>
      </c>
      <c r="C107" s="3">
        <v>44774</v>
      </c>
      <c r="D107" s="2" t="str">
        <f t="shared" si="9"/>
        <v>Post-Covid</v>
      </c>
      <c r="E107" s="19">
        <f>('Question 4 (Data)'!F119-'Question 4 (Data)'!F107)/'Question 4 (Data)'!F107</f>
        <v>8.4146341463414709E-2</v>
      </c>
      <c r="F107" s="19">
        <f>('Question 4 (Data)'!G119-'Question 4 (Data)'!G107)/'Question 4 (Data)'!G107</f>
        <v>5.5819477434679368E-2</v>
      </c>
      <c r="G107" s="19">
        <f>('Question 4 (Data)'!H119-'Question 4 (Data)'!H107)/'Question 4 (Data)'!H107</f>
        <v>6.5379825653798435E-2</v>
      </c>
      <c r="H107" s="19">
        <f>('Question 4 (Data)'!I119-'Question 4 (Data)'!I107)/'Question 4 (Data)'!I107</f>
        <v>7.4142156862745237E-2</v>
      </c>
    </row>
    <row r="108" spans="1:8" ht="14.4" x14ac:dyDescent="0.3">
      <c r="A108" s="2">
        <v>2022</v>
      </c>
      <c r="B108" s="2" t="s">
        <v>43</v>
      </c>
      <c r="C108" s="3">
        <v>44805</v>
      </c>
      <c r="D108" s="2" t="str">
        <f t="shared" si="9"/>
        <v>Post-Covid</v>
      </c>
      <c r="E108" s="19">
        <f>('Question 4 (Data)'!F120-'Question 4 (Data)'!F108)/'Question 4 (Data)'!F108</f>
        <v>7.0960047704233795E-2</v>
      </c>
      <c r="F108" s="19">
        <f>('Question 4 (Data)'!G120-'Question 4 (Data)'!G108)/'Question 4 (Data)'!G108</f>
        <v>5.6771141336487252E-2</v>
      </c>
      <c r="G108" s="19">
        <f>('Question 4 (Data)'!H120-'Question 4 (Data)'!H108)/'Question 4 (Data)'!H108</f>
        <v>6.2712388013593051E-2</v>
      </c>
      <c r="H108" s="19">
        <f>('Question 4 (Data)'!I120-'Question 4 (Data)'!I108)/'Question 4 (Data)'!I108</f>
        <v>6.7673716012084523E-2</v>
      </c>
    </row>
    <row r="109" spans="1:8" ht="14.4" x14ac:dyDescent="0.3">
      <c r="A109" s="2">
        <v>2022</v>
      </c>
      <c r="B109" s="2" t="s">
        <v>44</v>
      </c>
      <c r="C109" s="3">
        <v>44835</v>
      </c>
      <c r="D109" s="2" t="str">
        <f t="shared" si="9"/>
        <v>Post-Covid</v>
      </c>
      <c r="E109" s="19">
        <f>('Question 4 (Data)'!F121-'Question 4 (Data)'!F109)/'Question 4 (Data)'!F109</f>
        <v>5.0677666470241738E-2</v>
      </c>
      <c r="F109" s="19">
        <f>('Question 4 (Data)'!G121-'Question 4 (Data)'!G109)/'Question 4 (Data)'!G109</f>
        <v>5.8269570335491495E-2</v>
      </c>
      <c r="G109" s="19">
        <f>('Question 4 (Data)'!H121-'Question 4 (Data)'!H109)/'Question 4 (Data)'!H109</f>
        <v>6.5822002472187738E-2</v>
      </c>
      <c r="H109" s="19">
        <f>('Question 4 (Data)'!I121-'Question 4 (Data)'!I109)/'Question 4 (Data)'!I109</f>
        <v>5.8788242351529768E-2</v>
      </c>
    </row>
    <row r="110" spans="1:8" ht="14.4" x14ac:dyDescent="0.3">
      <c r="A110" s="2">
        <v>2022</v>
      </c>
      <c r="B110" s="2" t="s">
        <v>45</v>
      </c>
      <c r="C110" s="3">
        <v>44866</v>
      </c>
      <c r="D110" s="2" t="str">
        <f t="shared" si="9"/>
        <v>Post-Covid</v>
      </c>
      <c r="E110" s="19">
        <f>('Question 4 (Data)'!F122-'Question 4 (Data)'!F110)/'Question 4 (Data)'!F110</f>
        <v>4.577883472057085E-2</v>
      </c>
      <c r="F110" s="19">
        <f>('Question 4 (Data)'!G122-'Question 4 (Data)'!G110)/'Question 4 (Data)'!G110</f>
        <v>6.1547479484173509E-2</v>
      </c>
      <c r="G110" s="19">
        <f>('Question 4 (Data)'!H122-'Question 4 (Data)'!H110)/'Question 4 (Data)'!H110</f>
        <v>6.5781346510191518E-2</v>
      </c>
      <c r="H110" s="19">
        <f>('Question 4 (Data)'!I122-'Question 4 (Data)'!I110)/'Question 4 (Data)'!I110</f>
        <v>5.7160048134777382E-2</v>
      </c>
    </row>
    <row r="111" spans="1:8" ht="14.4" x14ac:dyDescent="0.3">
      <c r="A111" s="2">
        <v>2023</v>
      </c>
      <c r="B111" s="2" t="s">
        <v>31</v>
      </c>
      <c r="C111" s="3">
        <v>44896</v>
      </c>
      <c r="D111" s="2" t="str">
        <f t="shared" si="9"/>
        <v>Post-Covid</v>
      </c>
      <c r="E111" s="19">
        <f>('Question 4 (Data)'!F123-'Question 4 (Data)'!F111)/'Question 4 (Data)'!F111</f>
        <v>6.189903846153836E-2</v>
      </c>
      <c r="F111" s="19">
        <f>('Question 4 (Data)'!G123-'Question 4 (Data)'!G111)/'Question 4 (Data)'!G111</f>
        <v>6.3593932322053709E-2</v>
      </c>
      <c r="G111" s="19">
        <f>('Question 4 (Data)'!H123-'Question 4 (Data)'!H111)/'Question 4 (Data)'!H111</f>
        <v>6.4779196799507832E-2</v>
      </c>
      <c r="H111" s="19">
        <f>('Question 4 (Data)'!I123-'Question 4 (Data)'!I111)/'Question 4 (Data)'!I111</f>
        <v>6.5178032589016374E-2</v>
      </c>
    </row>
    <row r="112" spans="1:8" ht="14.4" x14ac:dyDescent="0.3">
      <c r="A112" s="2">
        <v>2023</v>
      </c>
      <c r="B112" s="2" t="s">
        <v>35</v>
      </c>
      <c r="C112" s="3">
        <v>44927</v>
      </c>
      <c r="D112" s="2" t="str">
        <f t="shared" si="9"/>
        <v>Post-Covid</v>
      </c>
      <c r="E112" s="19">
        <f>('Question 4 (Data)'!F124-'Question 4 (Data)'!F112)/'Question 4 (Data)'!F112</f>
        <v>6.4981949458483831E-2</v>
      </c>
      <c r="F112" s="19">
        <f>('Question 4 (Data)'!G124-'Question 4 (Data)'!G112)/'Question 4 (Data)'!G112</f>
        <v>7.0847851335656312E-2</v>
      </c>
      <c r="G112" s="19">
        <f>('Question 4 (Data)'!H124-'Question 4 (Data)'!H112)/'Question 4 (Data)'!H112</f>
        <v>6.3198163733741319E-2</v>
      </c>
      <c r="H112" s="19">
        <f>('Question 4 (Data)'!I124-'Question 4 (Data)'!I112)/'Question 4 (Data)'!I112</f>
        <v>6.6827212522576729E-2</v>
      </c>
    </row>
    <row r="113" spans="1:8" ht="14.4" x14ac:dyDescent="0.3">
      <c r="A113" s="2">
        <v>2023</v>
      </c>
      <c r="B113" s="2" t="s">
        <v>36</v>
      </c>
      <c r="C113" s="3">
        <v>44958</v>
      </c>
      <c r="D113" s="2" t="str">
        <f t="shared" si="9"/>
        <v>Post-Covid</v>
      </c>
      <c r="E113" s="19">
        <f>('Question 4 (Data)'!F125-'Question 4 (Data)'!F113)/'Question 4 (Data)'!F113</f>
        <v>5.1068883610451268E-2</v>
      </c>
      <c r="F113" s="19">
        <f>('Question 4 (Data)'!G125-'Question 4 (Data)'!G113)/'Question 4 (Data)'!G113</f>
        <v>6.589595375722547E-2</v>
      </c>
      <c r="G113" s="19">
        <f>('Question 4 (Data)'!H125-'Question 4 (Data)'!H113)/'Question 4 (Data)'!H113</f>
        <v>5.8196221815965773E-2</v>
      </c>
      <c r="H113" s="19">
        <f>('Question 4 (Data)'!I125-'Question 4 (Data)'!I113)/'Question 4 (Data)'!I113</f>
        <v>5.6648777579010143E-2</v>
      </c>
    </row>
    <row r="114" spans="1:8" ht="14.4" x14ac:dyDescent="0.3">
      <c r="A114" s="2">
        <v>2023</v>
      </c>
      <c r="B114" s="2" t="s">
        <v>37</v>
      </c>
      <c r="C114" s="3">
        <v>44986</v>
      </c>
      <c r="D114" s="2" t="str">
        <f t="shared" si="9"/>
        <v>Post-Covid</v>
      </c>
      <c r="E114" s="19">
        <f>('Question 4 (Data)'!F126-'Question 4 (Data)'!F114)/'Question 4 (Data)'!F114</f>
        <v>4.1569086651053827E-2</v>
      </c>
      <c r="F114" s="19">
        <f>('Question 4 (Data)'!G126-'Question 4 (Data)'!G114)/'Question 4 (Data)'!G114</f>
        <v>6.3218390804597707E-2</v>
      </c>
      <c r="G114" s="19">
        <f>('Question 4 (Data)'!H126-'Question 4 (Data)'!H114)/'Question 4 (Data)'!H114</f>
        <v>4.3517272319425614E-2</v>
      </c>
      <c r="H114" s="19">
        <f>('Question 4 (Data)'!I126-'Question 4 (Data)'!I114)/'Question 4 (Data)'!I114</f>
        <v>4.7031158142269255E-2</v>
      </c>
    </row>
    <row r="115" spans="1:8" ht="14.4" x14ac:dyDescent="0.3">
      <c r="A115" s="2">
        <v>2023</v>
      </c>
      <c r="B115" s="2" t="s">
        <v>38</v>
      </c>
      <c r="C115" s="3">
        <v>45017</v>
      </c>
      <c r="D115" s="2" t="str">
        <f t="shared" si="9"/>
        <v>Post-Covid</v>
      </c>
      <c r="E115" s="19">
        <f>('Question 4 (Data)'!F127-'Question 4 (Data)'!F115)/'Question 4 (Data)'!F115</f>
        <v>3.3467974610501917E-2</v>
      </c>
      <c r="F115" s="19">
        <f>('Question 4 (Data)'!G127-'Question 4 (Data)'!G115)/'Question 4 (Data)'!G115</f>
        <v>6.2356979405034194E-2</v>
      </c>
      <c r="G115" s="19">
        <f>('Question 4 (Data)'!H127-'Question 4 (Data)'!H115)/'Question 4 (Data)'!H115</f>
        <v>4.0564635958395177E-2</v>
      </c>
      <c r="H115" s="19">
        <f>('Question 4 (Data)'!I127-'Question 4 (Data)'!I115)/'Question 4 (Data)'!I115</f>
        <v>4.3098427489807842E-2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F9A4-53D6-43CB-AEFA-63ED1E8F9684}">
  <dimension ref="A1:AG32"/>
  <sheetViews>
    <sheetView zoomScale="80" zoomScaleNormal="80" workbookViewId="0">
      <selection activeCell="E44" sqref="E44"/>
    </sheetView>
  </sheetViews>
  <sheetFormatPr defaultRowHeight="13.8" x14ac:dyDescent="0.25"/>
  <cols>
    <col min="1" max="1" width="5" bestFit="1" customWidth="1"/>
    <col min="2" max="2" width="9.44140625" bestFit="1" customWidth="1"/>
    <col min="3" max="3" width="16.21875" bestFit="1" customWidth="1"/>
    <col min="4" max="4" width="17.6640625" bestFit="1" customWidth="1"/>
    <col min="5" max="5" width="11.77734375" bestFit="1" customWidth="1"/>
    <col min="6" max="6" width="5.44140625" bestFit="1" customWidth="1"/>
    <col min="7" max="7" width="15.21875" bestFit="1" customWidth="1"/>
    <col min="8" max="8" width="10.6640625" bestFit="1" customWidth="1"/>
    <col min="9" max="9" width="5.44140625" bestFit="1" customWidth="1"/>
    <col min="10" max="10" width="9.77734375" bestFit="1" customWidth="1"/>
    <col min="11" max="11" width="16.77734375" bestFit="1" customWidth="1"/>
    <col min="12" max="12" width="20.33203125" bestFit="1" customWidth="1"/>
    <col min="13" max="13" width="5.88671875" bestFit="1" customWidth="1"/>
    <col min="14" max="14" width="20.33203125" bestFit="1" customWidth="1"/>
    <col min="15" max="15" width="29.88671875" bestFit="1" customWidth="1"/>
    <col min="16" max="16" width="16.88671875" bestFit="1" customWidth="1"/>
    <col min="17" max="17" width="23.5546875" bestFit="1" customWidth="1"/>
    <col min="18" max="18" width="7.44140625" bestFit="1" customWidth="1"/>
    <col min="19" max="19" width="8.5546875" bestFit="1" customWidth="1"/>
    <col min="20" max="20" width="18.6640625" bestFit="1" customWidth="1"/>
    <col min="21" max="21" width="7.33203125" bestFit="1" customWidth="1"/>
    <col min="22" max="22" width="11.5546875" bestFit="1" customWidth="1"/>
    <col min="23" max="23" width="25" bestFit="1" customWidth="1"/>
    <col min="24" max="24" width="6.21875" bestFit="1" customWidth="1"/>
    <col min="25" max="25" width="24.77734375" bestFit="1" customWidth="1"/>
    <col min="26" max="26" width="23.109375" bestFit="1" customWidth="1"/>
    <col min="27" max="27" width="8.6640625" bestFit="1" customWidth="1"/>
    <col min="28" max="28" width="20.88671875" bestFit="1" customWidth="1"/>
    <col min="29" max="29" width="12.21875" bestFit="1" customWidth="1"/>
    <col min="30" max="30" width="12" bestFit="1" customWidth="1"/>
  </cols>
  <sheetData>
    <row r="1" spans="1:33" x14ac:dyDescent="0.25">
      <c r="A1" s="16" t="s">
        <v>103</v>
      </c>
    </row>
    <row r="3" spans="1:33" ht="14.4" x14ac:dyDescent="0.3">
      <c r="A3" s="1" t="s">
        <v>1</v>
      </c>
      <c r="B3" s="1" t="s">
        <v>2</v>
      </c>
      <c r="C3" s="64" t="s">
        <v>101</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G3" s="68" t="s">
        <v>64</v>
      </c>
    </row>
    <row r="4" spans="1:33" ht="14.4" x14ac:dyDescent="0.3">
      <c r="A4" s="2">
        <v>2021</v>
      </c>
      <c r="B4" s="65" t="s">
        <v>31</v>
      </c>
      <c r="C4" s="67">
        <v>54.79</v>
      </c>
      <c r="D4" s="66">
        <v>144.9</v>
      </c>
      <c r="E4" s="9">
        <v>190.1</v>
      </c>
      <c r="F4" s="9">
        <v>175.3</v>
      </c>
      <c r="G4" s="9">
        <v>154.1</v>
      </c>
      <c r="H4" s="9">
        <v>150.9</v>
      </c>
      <c r="I4" s="9">
        <v>149.6</v>
      </c>
      <c r="J4" s="9">
        <v>194.2</v>
      </c>
      <c r="K4" s="9">
        <v>160.4</v>
      </c>
      <c r="L4" s="9">
        <v>114.6</v>
      </c>
      <c r="M4" s="9">
        <v>164</v>
      </c>
      <c r="N4" s="9">
        <v>151.80000000000001</v>
      </c>
      <c r="O4" s="9">
        <v>165.6</v>
      </c>
      <c r="P4" s="9">
        <v>161</v>
      </c>
      <c r="Q4" s="9">
        <v>186.5</v>
      </c>
      <c r="R4" s="9">
        <v>155.5</v>
      </c>
      <c r="S4" s="9">
        <v>146.1</v>
      </c>
      <c r="T4" s="9">
        <v>154.19999999999999</v>
      </c>
      <c r="U4" s="9">
        <v>157.69999999999999</v>
      </c>
      <c r="V4" s="9">
        <v>147.9</v>
      </c>
      <c r="W4" s="9">
        <v>150</v>
      </c>
      <c r="X4" s="9">
        <v>159.30000000000001</v>
      </c>
      <c r="Y4" s="9">
        <v>141.9</v>
      </c>
      <c r="Z4" s="9">
        <v>149.6</v>
      </c>
      <c r="AA4" s="9">
        <v>159.19999999999999</v>
      </c>
      <c r="AB4" s="9">
        <v>156.80000000000001</v>
      </c>
      <c r="AC4" s="9">
        <v>151.9</v>
      </c>
      <c r="AD4" s="9">
        <v>157.30000000000001</v>
      </c>
      <c r="AG4" t="s">
        <v>102</v>
      </c>
    </row>
    <row r="5" spans="1:33" ht="14.4" x14ac:dyDescent="0.3">
      <c r="A5" s="2">
        <v>2021</v>
      </c>
      <c r="B5" s="65" t="s">
        <v>35</v>
      </c>
      <c r="C5" s="67">
        <v>61.22</v>
      </c>
      <c r="D5" s="66">
        <v>144.30000000000001</v>
      </c>
      <c r="E5" s="9">
        <v>186.5</v>
      </c>
      <c r="F5" s="9">
        <v>168.7</v>
      </c>
      <c r="G5" s="9">
        <v>154.69999999999999</v>
      </c>
      <c r="H5" s="9">
        <v>158.69999999999999</v>
      </c>
      <c r="I5" s="9">
        <v>150.69999999999999</v>
      </c>
      <c r="J5" s="9">
        <v>160</v>
      </c>
      <c r="K5" s="9">
        <v>158.80000000000001</v>
      </c>
      <c r="L5" s="9">
        <v>112.8</v>
      </c>
      <c r="M5" s="9">
        <v>164.2</v>
      </c>
      <c r="N5" s="9">
        <v>155.5</v>
      </c>
      <c r="O5" s="9">
        <v>167.5</v>
      </c>
      <c r="P5" s="9">
        <v>156.9</v>
      </c>
      <c r="Q5" s="9">
        <v>188.3</v>
      </c>
      <c r="R5" s="9">
        <v>157.19999999999999</v>
      </c>
      <c r="S5" s="9">
        <v>147.4</v>
      </c>
      <c r="T5" s="9">
        <v>155.80000000000001</v>
      </c>
      <c r="U5" s="9">
        <v>159.80000000000001</v>
      </c>
      <c r="V5" s="9">
        <v>152.4</v>
      </c>
      <c r="W5" s="9">
        <v>150.9</v>
      </c>
      <c r="X5" s="9">
        <v>161.30000000000001</v>
      </c>
      <c r="Y5" s="9">
        <v>145.1</v>
      </c>
      <c r="Z5" s="9">
        <v>151.5</v>
      </c>
      <c r="AA5" s="9">
        <v>159.5</v>
      </c>
      <c r="AB5" s="9">
        <v>155.80000000000001</v>
      </c>
      <c r="AC5" s="9">
        <v>153.4</v>
      </c>
      <c r="AD5" s="9">
        <v>156.6</v>
      </c>
    </row>
    <row r="6" spans="1:33" ht="14.4" x14ac:dyDescent="0.3">
      <c r="A6" s="2">
        <v>2021</v>
      </c>
      <c r="B6" s="65" t="s">
        <v>36</v>
      </c>
      <c r="C6" s="67">
        <v>64.73</v>
      </c>
      <c r="D6" s="66">
        <v>144.1</v>
      </c>
      <c r="E6" s="9">
        <v>192.2</v>
      </c>
      <c r="F6" s="9">
        <v>163.80000000000001</v>
      </c>
      <c r="G6" s="9">
        <v>154.9</v>
      </c>
      <c r="H6" s="9">
        <v>163.9</v>
      </c>
      <c r="I6" s="9">
        <v>153.69999999999999</v>
      </c>
      <c r="J6" s="9">
        <v>149.5</v>
      </c>
      <c r="K6" s="9">
        <v>159.80000000000001</v>
      </c>
      <c r="L6" s="9">
        <v>112.6</v>
      </c>
      <c r="M6" s="9">
        <v>163.5</v>
      </c>
      <c r="N6" s="9">
        <v>156.5</v>
      </c>
      <c r="O6" s="9">
        <v>168.2</v>
      </c>
      <c r="P6" s="9">
        <v>156.69999999999999</v>
      </c>
      <c r="Q6" s="9">
        <v>188.1</v>
      </c>
      <c r="R6" s="9">
        <v>157.80000000000001</v>
      </c>
      <c r="S6" s="9">
        <v>147.9</v>
      </c>
      <c r="T6" s="9">
        <v>156.4</v>
      </c>
      <c r="U6" s="9">
        <v>159.9</v>
      </c>
      <c r="V6" s="9">
        <v>155.5</v>
      </c>
      <c r="W6" s="9">
        <v>151.19999999999999</v>
      </c>
      <c r="X6" s="9">
        <v>161.69999999999999</v>
      </c>
      <c r="Y6" s="9">
        <v>146.19999999999999</v>
      </c>
      <c r="Z6" s="9">
        <v>152.6</v>
      </c>
      <c r="AA6" s="9">
        <v>160.19999999999999</v>
      </c>
      <c r="AB6" s="9">
        <v>153.80000000000001</v>
      </c>
      <c r="AC6" s="9">
        <v>153.80000000000001</v>
      </c>
      <c r="AD6" s="9">
        <v>156.80000000000001</v>
      </c>
    </row>
    <row r="7" spans="1:33" ht="14.4" x14ac:dyDescent="0.3">
      <c r="A7" s="2">
        <v>2021</v>
      </c>
      <c r="B7" s="65" t="s">
        <v>37</v>
      </c>
      <c r="C7" s="67">
        <v>63.4</v>
      </c>
      <c r="D7" s="66">
        <v>144.30000000000001</v>
      </c>
      <c r="E7" s="9">
        <v>198</v>
      </c>
      <c r="F7" s="9">
        <v>164.6</v>
      </c>
      <c r="G7" s="9">
        <v>155.4</v>
      </c>
      <c r="H7" s="9">
        <v>170.1</v>
      </c>
      <c r="I7" s="9">
        <v>164.4</v>
      </c>
      <c r="J7" s="9">
        <v>144.1</v>
      </c>
      <c r="K7" s="9">
        <v>161.69999999999999</v>
      </c>
      <c r="L7" s="9">
        <v>113.1</v>
      </c>
      <c r="M7" s="9">
        <v>163.9</v>
      </c>
      <c r="N7" s="9">
        <v>157.6</v>
      </c>
      <c r="O7" s="9">
        <v>168.9</v>
      </c>
      <c r="P7" s="9">
        <v>158</v>
      </c>
      <c r="Q7" s="9">
        <v>188.8</v>
      </c>
      <c r="R7" s="9">
        <v>158.80000000000001</v>
      </c>
      <c r="S7" s="9">
        <v>148.5</v>
      </c>
      <c r="T7" s="9">
        <v>157.30000000000001</v>
      </c>
      <c r="U7" s="9">
        <v>161.4</v>
      </c>
      <c r="V7" s="9">
        <v>155.6</v>
      </c>
      <c r="W7" s="9">
        <v>151.80000000000001</v>
      </c>
      <c r="X7" s="9">
        <v>162.30000000000001</v>
      </c>
      <c r="Y7" s="9">
        <v>146.6</v>
      </c>
      <c r="Z7" s="9">
        <v>153.19999999999999</v>
      </c>
      <c r="AA7" s="9">
        <v>160.30000000000001</v>
      </c>
      <c r="AB7" s="9">
        <v>155.4</v>
      </c>
      <c r="AC7" s="9">
        <v>154.4</v>
      </c>
      <c r="AD7" s="9">
        <v>157.80000000000001</v>
      </c>
    </row>
    <row r="8" spans="1:33" ht="14.4" x14ac:dyDescent="0.3">
      <c r="A8" s="2">
        <v>2021</v>
      </c>
      <c r="B8" s="65" t="s">
        <v>38</v>
      </c>
      <c r="C8" s="67">
        <v>66.95</v>
      </c>
      <c r="D8" s="66">
        <v>146.30000000000001</v>
      </c>
      <c r="E8" s="9">
        <v>200.5</v>
      </c>
      <c r="F8" s="9">
        <v>170.3</v>
      </c>
      <c r="G8" s="9">
        <v>156.1</v>
      </c>
      <c r="H8" s="9">
        <v>178.7</v>
      </c>
      <c r="I8" s="9">
        <v>167.1</v>
      </c>
      <c r="J8" s="9">
        <v>147.9</v>
      </c>
      <c r="K8" s="9">
        <v>165.4</v>
      </c>
      <c r="L8" s="9">
        <v>114.8</v>
      </c>
      <c r="M8" s="9">
        <v>168.2</v>
      </c>
      <c r="N8" s="9">
        <v>159.30000000000001</v>
      </c>
      <c r="O8" s="9">
        <v>170.4</v>
      </c>
      <c r="P8" s="9">
        <v>160.69999999999999</v>
      </c>
      <c r="Q8" s="9">
        <v>191.9</v>
      </c>
      <c r="R8" s="9">
        <v>161.80000000000001</v>
      </c>
      <c r="S8" s="9">
        <v>152.1</v>
      </c>
      <c r="T8" s="9">
        <v>160.4</v>
      </c>
      <c r="U8" s="9">
        <v>161.6</v>
      </c>
      <c r="V8" s="9">
        <v>159.4</v>
      </c>
      <c r="W8" s="9">
        <v>154.69999999999999</v>
      </c>
      <c r="X8" s="9">
        <v>165.8</v>
      </c>
      <c r="Y8" s="9">
        <v>148.9</v>
      </c>
      <c r="Z8" s="9">
        <v>155.80000000000001</v>
      </c>
      <c r="AA8" s="9">
        <v>161.19999999999999</v>
      </c>
      <c r="AB8" s="9">
        <v>158.6</v>
      </c>
      <c r="AC8" s="9">
        <v>156.80000000000001</v>
      </c>
      <c r="AD8" s="9">
        <v>160.4</v>
      </c>
    </row>
    <row r="9" spans="1:33" ht="14.4" x14ac:dyDescent="0.3">
      <c r="A9" s="2">
        <v>2021</v>
      </c>
      <c r="B9" s="65" t="s">
        <v>39</v>
      </c>
      <c r="C9" s="67">
        <v>71.98</v>
      </c>
      <c r="D9" s="66">
        <v>146.69999999999999</v>
      </c>
      <c r="E9" s="9">
        <v>202</v>
      </c>
      <c r="F9" s="9">
        <v>180.7</v>
      </c>
      <c r="G9" s="9">
        <v>156.19999999999999</v>
      </c>
      <c r="H9" s="9">
        <v>183.7</v>
      </c>
      <c r="I9" s="9">
        <v>164.6</v>
      </c>
      <c r="J9" s="9">
        <v>155.4</v>
      </c>
      <c r="K9" s="9">
        <v>166</v>
      </c>
      <c r="L9" s="9">
        <v>115.1</v>
      </c>
      <c r="M9" s="9">
        <v>168.5</v>
      </c>
      <c r="N9" s="9">
        <v>160</v>
      </c>
      <c r="O9" s="9">
        <v>172.4</v>
      </c>
      <c r="P9" s="9">
        <v>162.6</v>
      </c>
      <c r="Q9" s="9">
        <v>190.8</v>
      </c>
      <c r="R9" s="9">
        <v>162.19999999999999</v>
      </c>
      <c r="S9" s="9">
        <v>151.80000000000001</v>
      </c>
      <c r="T9" s="9">
        <v>160.69999999999999</v>
      </c>
      <c r="U9" s="9">
        <v>160.5</v>
      </c>
      <c r="V9" s="9">
        <v>159.80000000000001</v>
      </c>
      <c r="W9" s="9">
        <v>154.80000000000001</v>
      </c>
      <c r="X9" s="9">
        <v>166.3</v>
      </c>
      <c r="Y9" s="9">
        <v>150.69999999999999</v>
      </c>
      <c r="Z9" s="9">
        <v>154.9</v>
      </c>
      <c r="AA9" s="9">
        <v>161.69999999999999</v>
      </c>
      <c r="AB9" s="9">
        <v>158.80000000000001</v>
      </c>
      <c r="AC9" s="9">
        <v>157.6</v>
      </c>
      <c r="AD9" s="9">
        <v>161.30000000000001</v>
      </c>
    </row>
    <row r="10" spans="1:33" ht="14.4" x14ac:dyDescent="0.3">
      <c r="A10" s="2">
        <v>2021</v>
      </c>
      <c r="B10" s="65" t="s">
        <v>40</v>
      </c>
      <c r="C10" s="67">
        <v>73.540000000000006</v>
      </c>
      <c r="D10" s="66">
        <v>146.4</v>
      </c>
      <c r="E10" s="9">
        <v>206.8</v>
      </c>
      <c r="F10" s="9">
        <v>182.2</v>
      </c>
      <c r="G10" s="9">
        <v>157.5</v>
      </c>
      <c r="H10" s="9">
        <v>182.1</v>
      </c>
      <c r="I10" s="9">
        <v>163.9</v>
      </c>
      <c r="J10" s="9">
        <v>164.2</v>
      </c>
      <c r="K10" s="9">
        <v>164</v>
      </c>
      <c r="L10" s="9">
        <v>114.5</v>
      </c>
      <c r="M10" s="9">
        <v>168.3</v>
      </c>
      <c r="N10" s="9">
        <v>160.9</v>
      </c>
      <c r="O10" s="9">
        <v>172.2</v>
      </c>
      <c r="P10" s="9">
        <v>164</v>
      </c>
      <c r="Q10" s="9">
        <v>191.2</v>
      </c>
      <c r="R10" s="9">
        <v>162.80000000000001</v>
      </c>
      <c r="S10" s="9">
        <v>153.1</v>
      </c>
      <c r="T10" s="9">
        <v>161.4</v>
      </c>
      <c r="U10" s="9">
        <v>161.5</v>
      </c>
      <c r="V10" s="9">
        <v>160.69999999999999</v>
      </c>
      <c r="W10" s="9">
        <v>155.80000000000001</v>
      </c>
      <c r="X10" s="9">
        <v>167</v>
      </c>
      <c r="Y10" s="9">
        <v>153.1</v>
      </c>
      <c r="Z10" s="9">
        <v>155.30000000000001</v>
      </c>
      <c r="AA10" s="9">
        <v>163.19999999999999</v>
      </c>
      <c r="AB10" s="9">
        <v>160.1</v>
      </c>
      <c r="AC10" s="9">
        <v>159</v>
      </c>
      <c r="AD10" s="9">
        <v>162.5</v>
      </c>
    </row>
    <row r="11" spans="1:33" ht="14.4" x14ac:dyDescent="0.3">
      <c r="A11" s="2">
        <v>2021</v>
      </c>
      <c r="B11" s="65" t="s">
        <v>41</v>
      </c>
      <c r="C11" s="67">
        <v>69.8</v>
      </c>
      <c r="D11" s="66">
        <v>146.6</v>
      </c>
      <c r="E11" s="9">
        <v>204</v>
      </c>
      <c r="F11" s="9">
        <v>172.8</v>
      </c>
      <c r="G11" s="9">
        <v>158.4</v>
      </c>
      <c r="H11" s="9">
        <v>188</v>
      </c>
      <c r="I11" s="9">
        <v>156.80000000000001</v>
      </c>
      <c r="J11" s="9">
        <v>162.19999999999999</v>
      </c>
      <c r="K11" s="9">
        <v>164.1</v>
      </c>
      <c r="L11" s="9">
        <v>119.7</v>
      </c>
      <c r="M11" s="9">
        <v>168.8</v>
      </c>
      <c r="N11" s="9">
        <v>162.69999999999999</v>
      </c>
      <c r="O11" s="9">
        <v>173.9</v>
      </c>
      <c r="P11" s="9">
        <v>164</v>
      </c>
      <c r="Q11" s="9">
        <v>192.1</v>
      </c>
      <c r="R11" s="9">
        <v>164.5</v>
      </c>
      <c r="S11" s="9">
        <v>155.30000000000001</v>
      </c>
      <c r="T11" s="9">
        <v>163.19999999999999</v>
      </c>
      <c r="U11" s="9">
        <v>162.1</v>
      </c>
      <c r="V11" s="9">
        <v>162.6</v>
      </c>
      <c r="W11" s="9">
        <v>157.5</v>
      </c>
      <c r="X11" s="9">
        <v>168.4</v>
      </c>
      <c r="Y11" s="9">
        <v>154</v>
      </c>
      <c r="Z11" s="9">
        <v>157.6</v>
      </c>
      <c r="AA11" s="9">
        <v>163.80000000000001</v>
      </c>
      <c r="AB11" s="9">
        <v>160</v>
      </c>
      <c r="AC11" s="9">
        <v>160</v>
      </c>
      <c r="AD11" s="9">
        <v>163.19999999999999</v>
      </c>
    </row>
    <row r="12" spans="1:33" ht="14.4" x14ac:dyDescent="0.3">
      <c r="A12" s="2">
        <v>2021</v>
      </c>
      <c r="B12" s="65" t="s">
        <v>42</v>
      </c>
      <c r="C12" s="67">
        <v>73.13</v>
      </c>
      <c r="D12" s="66">
        <v>146.6</v>
      </c>
      <c r="E12" s="9">
        <v>204</v>
      </c>
      <c r="F12" s="9">
        <v>172.8</v>
      </c>
      <c r="G12" s="9">
        <v>158.4</v>
      </c>
      <c r="H12" s="9">
        <v>188</v>
      </c>
      <c r="I12" s="9">
        <v>156.69999999999999</v>
      </c>
      <c r="J12" s="9">
        <v>162.30000000000001</v>
      </c>
      <c r="K12" s="9">
        <v>164.1</v>
      </c>
      <c r="L12" s="9">
        <v>119.7</v>
      </c>
      <c r="M12" s="9">
        <v>168.8</v>
      </c>
      <c r="N12" s="9">
        <v>162.69999999999999</v>
      </c>
      <c r="O12" s="9">
        <v>173.9</v>
      </c>
      <c r="P12" s="9">
        <v>164</v>
      </c>
      <c r="Q12" s="9">
        <v>192.1</v>
      </c>
      <c r="R12" s="9">
        <v>164.6</v>
      </c>
      <c r="S12" s="9">
        <v>155.30000000000001</v>
      </c>
      <c r="T12" s="9">
        <v>163.30000000000001</v>
      </c>
      <c r="U12" s="9">
        <v>162.1</v>
      </c>
      <c r="V12" s="9">
        <v>162.6</v>
      </c>
      <c r="W12" s="9">
        <v>157.5</v>
      </c>
      <c r="X12" s="9">
        <v>168.4</v>
      </c>
      <c r="Y12" s="9">
        <v>154</v>
      </c>
      <c r="Z12" s="9">
        <v>157.69999999999999</v>
      </c>
      <c r="AA12" s="9">
        <v>163.69999999999999</v>
      </c>
      <c r="AB12" s="9">
        <v>160</v>
      </c>
      <c r="AC12" s="9">
        <v>160</v>
      </c>
      <c r="AD12" s="9">
        <v>163.19999999999999</v>
      </c>
    </row>
    <row r="13" spans="1:33" ht="14.4" x14ac:dyDescent="0.3">
      <c r="A13" s="2">
        <v>2021</v>
      </c>
      <c r="B13" s="65" t="s">
        <v>43</v>
      </c>
      <c r="C13" s="67">
        <v>82.11</v>
      </c>
      <c r="D13" s="66">
        <v>147.4</v>
      </c>
      <c r="E13" s="9">
        <v>204.6</v>
      </c>
      <c r="F13" s="9">
        <v>171.2</v>
      </c>
      <c r="G13" s="9">
        <v>158.69999999999999</v>
      </c>
      <c r="H13" s="9">
        <v>190.6</v>
      </c>
      <c r="I13" s="9">
        <v>155.69999999999999</v>
      </c>
      <c r="J13" s="9">
        <v>185.3</v>
      </c>
      <c r="K13" s="9">
        <v>165.2</v>
      </c>
      <c r="L13" s="9">
        <v>121.9</v>
      </c>
      <c r="M13" s="9">
        <v>169.3</v>
      </c>
      <c r="N13" s="9">
        <v>163.19999999999999</v>
      </c>
      <c r="O13" s="9">
        <v>174.7</v>
      </c>
      <c r="P13" s="9">
        <v>167.7</v>
      </c>
      <c r="Q13" s="9">
        <v>192.7</v>
      </c>
      <c r="R13" s="9">
        <v>165.7</v>
      </c>
      <c r="S13" s="9">
        <v>156.30000000000001</v>
      </c>
      <c r="T13" s="9">
        <v>164.3</v>
      </c>
      <c r="U13" s="9">
        <v>163.6</v>
      </c>
      <c r="V13" s="9">
        <v>164.2</v>
      </c>
      <c r="W13" s="9">
        <v>158.4</v>
      </c>
      <c r="X13" s="9">
        <v>169.1</v>
      </c>
      <c r="Y13" s="9">
        <v>155.69999999999999</v>
      </c>
      <c r="Z13" s="9">
        <v>158.6</v>
      </c>
      <c r="AA13" s="9">
        <v>163.9</v>
      </c>
      <c r="AB13" s="9">
        <v>160.80000000000001</v>
      </c>
      <c r="AC13" s="9">
        <v>161</v>
      </c>
      <c r="AD13" s="9">
        <v>165.5</v>
      </c>
    </row>
    <row r="14" spans="1:33" ht="14.4" x14ac:dyDescent="0.3">
      <c r="A14" s="2">
        <v>2021</v>
      </c>
      <c r="B14" s="65" t="s">
        <v>44</v>
      </c>
      <c r="C14" s="67">
        <v>80.64</v>
      </c>
      <c r="D14" s="66">
        <v>148.19999999999999</v>
      </c>
      <c r="E14" s="9">
        <v>201.6</v>
      </c>
      <c r="F14" s="9">
        <v>173</v>
      </c>
      <c r="G14" s="9">
        <v>159.30000000000001</v>
      </c>
      <c r="H14" s="9">
        <v>190.1</v>
      </c>
      <c r="I14" s="9">
        <v>156.5</v>
      </c>
      <c r="J14" s="9">
        <v>199.2</v>
      </c>
      <c r="K14" s="9">
        <v>165.3</v>
      </c>
      <c r="L14" s="9">
        <v>122.4</v>
      </c>
      <c r="M14" s="9">
        <v>169.6</v>
      </c>
      <c r="N14" s="9">
        <v>163.69999999999999</v>
      </c>
      <c r="O14" s="9">
        <v>175.5</v>
      </c>
      <c r="P14" s="9">
        <v>169.7</v>
      </c>
      <c r="Q14" s="9">
        <v>192.9</v>
      </c>
      <c r="R14" s="9">
        <v>167.2</v>
      </c>
      <c r="S14" s="9">
        <v>157.4</v>
      </c>
      <c r="T14" s="9">
        <v>165.8</v>
      </c>
      <c r="U14" s="9">
        <v>164.2</v>
      </c>
      <c r="V14" s="9">
        <v>163.9</v>
      </c>
      <c r="W14" s="9">
        <v>159.30000000000001</v>
      </c>
      <c r="X14" s="9">
        <v>169.9</v>
      </c>
      <c r="Y14" s="9">
        <v>154.80000000000001</v>
      </c>
      <c r="Z14" s="9">
        <v>159.80000000000001</v>
      </c>
      <c r="AA14" s="9">
        <v>164.3</v>
      </c>
      <c r="AB14" s="9">
        <v>162.19999999999999</v>
      </c>
      <c r="AC14" s="9">
        <v>161.4</v>
      </c>
      <c r="AD14" s="9">
        <v>166.7</v>
      </c>
    </row>
    <row r="15" spans="1:33" ht="14.4" x14ac:dyDescent="0.3">
      <c r="A15" s="2">
        <v>2021</v>
      </c>
      <c r="B15" s="65" t="s">
        <v>45</v>
      </c>
      <c r="C15" s="67">
        <v>73.3</v>
      </c>
      <c r="D15" s="66">
        <v>148.69999999999999</v>
      </c>
      <c r="E15" s="9">
        <v>198.8</v>
      </c>
      <c r="F15" s="9">
        <v>177.9</v>
      </c>
      <c r="G15" s="9">
        <v>159.9</v>
      </c>
      <c r="H15" s="9">
        <v>187.6</v>
      </c>
      <c r="I15" s="9">
        <v>154.9</v>
      </c>
      <c r="J15" s="9">
        <v>188.3</v>
      </c>
      <c r="K15" s="9">
        <v>164.4</v>
      </c>
      <c r="L15" s="9">
        <v>121</v>
      </c>
      <c r="M15" s="9">
        <v>170.5</v>
      </c>
      <c r="N15" s="9">
        <v>164.2</v>
      </c>
      <c r="O15" s="9">
        <v>176.5</v>
      </c>
      <c r="P15" s="9">
        <v>168.2</v>
      </c>
      <c r="Q15" s="9">
        <v>192.4</v>
      </c>
      <c r="R15" s="9">
        <v>168.5</v>
      </c>
      <c r="S15" s="9">
        <v>158.69999999999999</v>
      </c>
      <c r="T15" s="9">
        <v>167</v>
      </c>
      <c r="U15" s="9">
        <v>163.4</v>
      </c>
      <c r="V15" s="9">
        <v>164.1</v>
      </c>
      <c r="W15" s="9">
        <v>160.19999999999999</v>
      </c>
      <c r="X15" s="9">
        <v>170.6</v>
      </c>
      <c r="Y15" s="9">
        <v>155.69999999999999</v>
      </c>
      <c r="Z15" s="9">
        <v>160.6</v>
      </c>
      <c r="AA15" s="9">
        <v>164.4</v>
      </c>
      <c r="AB15" s="9">
        <v>162.6</v>
      </c>
      <c r="AC15" s="9">
        <v>162</v>
      </c>
      <c r="AD15" s="9">
        <v>166.2</v>
      </c>
    </row>
    <row r="16" spans="1:33" ht="14.4" x14ac:dyDescent="0.3">
      <c r="A16" s="2">
        <v>2022</v>
      </c>
      <c r="B16" s="65" t="s">
        <v>31</v>
      </c>
      <c r="C16" s="67">
        <v>84.67</v>
      </c>
      <c r="D16" s="66">
        <v>149.5</v>
      </c>
      <c r="E16" s="9">
        <v>198.7</v>
      </c>
      <c r="F16" s="9">
        <v>178.8</v>
      </c>
      <c r="G16" s="9">
        <v>160.5</v>
      </c>
      <c r="H16" s="9">
        <v>184.7</v>
      </c>
      <c r="I16" s="9">
        <v>153.69999999999999</v>
      </c>
      <c r="J16" s="9">
        <v>174.3</v>
      </c>
      <c r="K16" s="9">
        <v>163.9</v>
      </c>
      <c r="L16" s="9">
        <v>120</v>
      </c>
      <c r="M16" s="9">
        <v>172.1</v>
      </c>
      <c r="N16" s="9">
        <v>164.3</v>
      </c>
      <c r="O16" s="9">
        <v>177.3</v>
      </c>
      <c r="P16" s="9">
        <v>166.4</v>
      </c>
      <c r="Q16" s="9">
        <v>192.2</v>
      </c>
      <c r="R16" s="9">
        <v>169.9</v>
      </c>
      <c r="S16" s="9">
        <v>160.69999999999999</v>
      </c>
      <c r="T16" s="9">
        <v>168.5</v>
      </c>
      <c r="U16" s="9">
        <v>164.5</v>
      </c>
      <c r="V16" s="9">
        <v>164.2</v>
      </c>
      <c r="W16" s="9">
        <v>161.1</v>
      </c>
      <c r="X16" s="9">
        <v>171.4</v>
      </c>
      <c r="Y16" s="9">
        <v>156.5</v>
      </c>
      <c r="Z16" s="9">
        <v>161.19999999999999</v>
      </c>
      <c r="AA16" s="9">
        <v>164.7</v>
      </c>
      <c r="AB16" s="9">
        <v>163</v>
      </c>
      <c r="AC16" s="9">
        <v>162.69999999999999</v>
      </c>
      <c r="AD16" s="9">
        <v>165.7</v>
      </c>
    </row>
    <row r="17" spans="1:30" ht="14.4" x14ac:dyDescent="0.3">
      <c r="A17" s="2">
        <v>2022</v>
      </c>
      <c r="B17" s="65" t="s">
        <v>35</v>
      </c>
      <c r="C17" s="67">
        <v>94.07</v>
      </c>
      <c r="D17" s="66">
        <v>150</v>
      </c>
      <c r="E17" s="9">
        <v>200.6</v>
      </c>
      <c r="F17" s="9">
        <v>175.8</v>
      </c>
      <c r="G17" s="9">
        <v>160.69999999999999</v>
      </c>
      <c r="H17" s="9">
        <v>184.9</v>
      </c>
      <c r="I17" s="9">
        <v>153.69999999999999</v>
      </c>
      <c r="J17" s="9">
        <v>169.7</v>
      </c>
      <c r="K17" s="9">
        <v>163.69999999999999</v>
      </c>
      <c r="L17" s="9">
        <v>118.9</v>
      </c>
      <c r="M17" s="9">
        <v>174.3</v>
      </c>
      <c r="N17" s="9">
        <v>164.7</v>
      </c>
      <c r="O17" s="9">
        <v>178</v>
      </c>
      <c r="P17" s="9">
        <v>166.2</v>
      </c>
      <c r="Q17" s="9">
        <v>192.8</v>
      </c>
      <c r="R17" s="9">
        <v>170.8</v>
      </c>
      <c r="S17" s="9">
        <v>162.4</v>
      </c>
      <c r="T17" s="9">
        <v>169.6</v>
      </c>
      <c r="U17" s="9">
        <v>165.5</v>
      </c>
      <c r="V17" s="9">
        <v>165.7</v>
      </c>
      <c r="W17" s="9">
        <v>161.80000000000001</v>
      </c>
      <c r="X17" s="9">
        <v>172.2</v>
      </c>
      <c r="Y17" s="9">
        <v>156.9</v>
      </c>
      <c r="Z17" s="9">
        <v>162.1</v>
      </c>
      <c r="AA17" s="9">
        <v>165.4</v>
      </c>
      <c r="AB17" s="9">
        <v>164.4</v>
      </c>
      <c r="AC17" s="9">
        <v>163.5</v>
      </c>
      <c r="AD17" s="9">
        <v>166.1</v>
      </c>
    </row>
    <row r="18" spans="1:30" ht="14.4" x14ac:dyDescent="0.3">
      <c r="A18" s="2">
        <v>2022</v>
      </c>
      <c r="B18" s="65" t="s">
        <v>36</v>
      </c>
      <c r="C18" s="67">
        <v>112.87</v>
      </c>
      <c r="D18" s="66">
        <v>151.30000000000001</v>
      </c>
      <c r="E18" s="9">
        <v>210.7</v>
      </c>
      <c r="F18" s="9">
        <v>167.8</v>
      </c>
      <c r="G18" s="9">
        <v>162.19999999999999</v>
      </c>
      <c r="H18" s="9">
        <v>194.6</v>
      </c>
      <c r="I18" s="9">
        <v>157.6</v>
      </c>
      <c r="J18" s="9">
        <v>166.9</v>
      </c>
      <c r="K18" s="9">
        <v>163.9</v>
      </c>
      <c r="L18" s="9">
        <v>118.8</v>
      </c>
      <c r="M18" s="9">
        <v>177.4</v>
      </c>
      <c r="N18" s="9">
        <v>165.3</v>
      </c>
      <c r="O18" s="9">
        <v>179.3</v>
      </c>
      <c r="P18" s="9">
        <v>168.4</v>
      </c>
      <c r="Q18" s="9">
        <v>193.7</v>
      </c>
      <c r="R18" s="9">
        <v>172.1</v>
      </c>
      <c r="S18" s="9">
        <v>164.6</v>
      </c>
      <c r="T18" s="9">
        <v>171.1</v>
      </c>
      <c r="U18" s="9">
        <v>165.3</v>
      </c>
      <c r="V18" s="9">
        <v>167.2</v>
      </c>
      <c r="W18" s="9">
        <v>162.80000000000001</v>
      </c>
      <c r="X18" s="9">
        <v>173</v>
      </c>
      <c r="Y18" s="9">
        <v>157.9</v>
      </c>
      <c r="Z18" s="9">
        <v>163.30000000000001</v>
      </c>
      <c r="AA18" s="9">
        <v>166</v>
      </c>
      <c r="AB18" s="9">
        <v>167.2</v>
      </c>
      <c r="AC18" s="9">
        <v>164.6</v>
      </c>
      <c r="AD18" s="9">
        <v>167.7</v>
      </c>
    </row>
    <row r="19" spans="1:30" ht="14.4" x14ac:dyDescent="0.3">
      <c r="A19" s="2">
        <v>2022</v>
      </c>
      <c r="B19" s="65" t="s">
        <v>37</v>
      </c>
      <c r="C19" s="67">
        <v>102.97</v>
      </c>
      <c r="D19" s="66">
        <v>152.9</v>
      </c>
      <c r="E19" s="9">
        <v>211.8</v>
      </c>
      <c r="F19" s="9">
        <v>164.5</v>
      </c>
      <c r="G19" s="9">
        <v>163.9</v>
      </c>
      <c r="H19" s="9">
        <v>199.5</v>
      </c>
      <c r="I19" s="9">
        <v>172.6</v>
      </c>
      <c r="J19" s="9">
        <v>166.2</v>
      </c>
      <c r="K19" s="9">
        <v>164.7</v>
      </c>
      <c r="L19" s="9">
        <v>119</v>
      </c>
      <c r="M19" s="9">
        <v>181.3</v>
      </c>
      <c r="N19" s="9">
        <v>166.2</v>
      </c>
      <c r="O19" s="9">
        <v>180.9</v>
      </c>
      <c r="P19" s="9">
        <v>170.8</v>
      </c>
      <c r="Q19" s="9">
        <v>193.9</v>
      </c>
      <c r="R19" s="9">
        <v>173.9</v>
      </c>
      <c r="S19" s="9">
        <v>166.5</v>
      </c>
      <c r="T19" s="9">
        <v>172.8</v>
      </c>
      <c r="U19" s="9">
        <v>167</v>
      </c>
      <c r="V19" s="9">
        <v>172.2</v>
      </c>
      <c r="W19" s="9">
        <v>164</v>
      </c>
      <c r="X19" s="9">
        <v>174</v>
      </c>
      <c r="Y19" s="9">
        <v>162.6</v>
      </c>
      <c r="Z19" s="9">
        <v>164.4</v>
      </c>
      <c r="AA19" s="9">
        <v>166.9</v>
      </c>
      <c r="AB19" s="9">
        <v>168.8</v>
      </c>
      <c r="AC19" s="9">
        <v>166.8</v>
      </c>
      <c r="AD19" s="9">
        <v>170.1</v>
      </c>
    </row>
    <row r="20" spans="1:30" ht="14.4" x14ac:dyDescent="0.3">
      <c r="A20" s="2">
        <v>2022</v>
      </c>
      <c r="B20" s="65" t="s">
        <v>38</v>
      </c>
      <c r="C20" s="67">
        <v>109.51</v>
      </c>
      <c r="D20" s="66">
        <v>154.1</v>
      </c>
      <c r="E20" s="9">
        <v>217</v>
      </c>
      <c r="F20" s="9">
        <v>162.4</v>
      </c>
      <c r="G20" s="9">
        <v>164.9</v>
      </c>
      <c r="H20" s="9">
        <v>202.4</v>
      </c>
      <c r="I20" s="9">
        <v>171</v>
      </c>
      <c r="J20" s="9">
        <v>174.9</v>
      </c>
      <c r="K20" s="9">
        <v>164.7</v>
      </c>
      <c r="L20" s="9">
        <v>119.7</v>
      </c>
      <c r="M20" s="9">
        <v>184.9</v>
      </c>
      <c r="N20" s="9">
        <v>167.1</v>
      </c>
      <c r="O20" s="9">
        <v>182.5</v>
      </c>
      <c r="P20" s="9">
        <v>173.3</v>
      </c>
      <c r="Q20" s="9">
        <v>194.1</v>
      </c>
      <c r="R20" s="9">
        <v>175.6</v>
      </c>
      <c r="S20" s="9">
        <v>168.4</v>
      </c>
      <c r="T20" s="9">
        <v>174.6</v>
      </c>
      <c r="U20" s="9">
        <v>167.5</v>
      </c>
      <c r="V20" s="9">
        <v>174.6</v>
      </c>
      <c r="W20" s="9">
        <v>165.2</v>
      </c>
      <c r="X20" s="9">
        <v>174.8</v>
      </c>
      <c r="Y20" s="9">
        <v>163</v>
      </c>
      <c r="Z20" s="9">
        <v>165.1</v>
      </c>
      <c r="AA20" s="9">
        <v>167.9</v>
      </c>
      <c r="AB20" s="9">
        <v>168.4</v>
      </c>
      <c r="AC20" s="9">
        <v>167.5</v>
      </c>
      <c r="AD20" s="9">
        <v>171.7</v>
      </c>
    </row>
    <row r="21" spans="1:30" ht="14.4" x14ac:dyDescent="0.3">
      <c r="A21" s="2">
        <v>2022</v>
      </c>
      <c r="B21" s="65" t="s">
        <v>39</v>
      </c>
      <c r="C21" s="67">
        <v>116.01</v>
      </c>
      <c r="D21" s="66">
        <v>155</v>
      </c>
      <c r="E21" s="9">
        <v>219.4</v>
      </c>
      <c r="F21" s="9">
        <v>170.8</v>
      </c>
      <c r="G21" s="9">
        <v>165.8</v>
      </c>
      <c r="H21" s="9">
        <v>200.9</v>
      </c>
      <c r="I21" s="9">
        <v>169.7</v>
      </c>
      <c r="J21" s="9">
        <v>182.3</v>
      </c>
      <c r="K21" s="9">
        <v>164.3</v>
      </c>
      <c r="L21" s="9">
        <v>119.9</v>
      </c>
      <c r="M21" s="9">
        <v>187.1</v>
      </c>
      <c r="N21" s="9">
        <v>167.9</v>
      </c>
      <c r="O21" s="9">
        <v>183.9</v>
      </c>
      <c r="P21" s="9">
        <v>174.9</v>
      </c>
      <c r="Q21" s="9">
        <v>194.3</v>
      </c>
      <c r="R21" s="9">
        <v>177.1</v>
      </c>
      <c r="S21" s="9">
        <v>169.9</v>
      </c>
      <c r="T21" s="9">
        <v>176</v>
      </c>
      <c r="U21" s="9">
        <v>166.8</v>
      </c>
      <c r="V21" s="9">
        <v>176</v>
      </c>
      <c r="W21" s="9">
        <v>166.4</v>
      </c>
      <c r="X21" s="9">
        <v>175.4</v>
      </c>
      <c r="Y21" s="9">
        <v>161.1</v>
      </c>
      <c r="Z21" s="9">
        <v>165.8</v>
      </c>
      <c r="AA21" s="9">
        <v>169</v>
      </c>
      <c r="AB21" s="9">
        <v>169.4</v>
      </c>
      <c r="AC21" s="9">
        <v>167.5</v>
      </c>
      <c r="AD21" s="9">
        <v>172.6</v>
      </c>
    </row>
    <row r="22" spans="1:30" ht="14.4" x14ac:dyDescent="0.3">
      <c r="A22" s="2">
        <v>2022</v>
      </c>
      <c r="B22" s="65" t="s">
        <v>40</v>
      </c>
      <c r="C22" s="67">
        <v>105.49</v>
      </c>
      <c r="D22" s="66">
        <v>156.5</v>
      </c>
      <c r="E22" s="9">
        <v>213</v>
      </c>
      <c r="F22" s="9">
        <v>175.2</v>
      </c>
      <c r="G22" s="9">
        <v>166.6</v>
      </c>
      <c r="H22" s="9">
        <v>195.8</v>
      </c>
      <c r="I22" s="9">
        <v>174.2</v>
      </c>
      <c r="J22" s="9">
        <v>182.1</v>
      </c>
      <c r="K22" s="9">
        <v>164.3</v>
      </c>
      <c r="L22" s="9">
        <v>120</v>
      </c>
      <c r="M22" s="9">
        <v>190</v>
      </c>
      <c r="N22" s="9">
        <v>168.4</v>
      </c>
      <c r="O22" s="9">
        <v>185.2</v>
      </c>
      <c r="P22" s="9">
        <v>175</v>
      </c>
      <c r="Q22" s="9">
        <v>194.6</v>
      </c>
      <c r="R22" s="9">
        <v>178.3</v>
      </c>
      <c r="S22" s="9">
        <v>171.3</v>
      </c>
      <c r="T22" s="9">
        <v>177.3</v>
      </c>
      <c r="U22" s="9">
        <v>167.8</v>
      </c>
      <c r="V22" s="9">
        <v>179.6</v>
      </c>
      <c r="W22" s="9">
        <v>167.4</v>
      </c>
      <c r="X22" s="9">
        <v>176.1</v>
      </c>
      <c r="Y22" s="9">
        <v>161.6</v>
      </c>
      <c r="Z22" s="9">
        <v>166.3</v>
      </c>
      <c r="AA22" s="9">
        <v>171.4</v>
      </c>
      <c r="AB22" s="9">
        <v>169.7</v>
      </c>
      <c r="AC22" s="9">
        <v>168.4</v>
      </c>
      <c r="AD22" s="9">
        <v>173.4</v>
      </c>
    </row>
    <row r="23" spans="1:30" ht="14.4" x14ac:dyDescent="0.3">
      <c r="A23" s="2">
        <v>2022</v>
      </c>
      <c r="B23" s="65" t="s">
        <v>41</v>
      </c>
      <c r="C23" s="67">
        <v>97.4</v>
      </c>
      <c r="D23" s="66">
        <v>160.30000000000001</v>
      </c>
      <c r="E23" s="9">
        <v>206.5</v>
      </c>
      <c r="F23" s="9">
        <v>169.2</v>
      </c>
      <c r="G23" s="9">
        <v>168.1</v>
      </c>
      <c r="H23" s="9">
        <v>192.4</v>
      </c>
      <c r="I23" s="9">
        <v>172.9</v>
      </c>
      <c r="J23" s="9">
        <v>186.7</v>
      </c>
      <c r="K23" s="9">
        <v>167.2</v>
      </c>
      <c r="L23" s="9">
        <v>120.9</v>
      </c>
      <c r="M23" s="9">
        <v>193.6</v>
      </c>
      <c r="N23" s="9">
        <v>168.8</v>
      </c>
      <c r="O23" s="9">
        <v>186.3</v>
      </c>
      <c r="P23" s="9">
        <v>176.3</v>
      </c>
      <c r="Q23" s="9">
        <v>195</v>
      </c>
      <c r="R23" s="9">
        <v>179.5</v>
      </c>
      <c r="S23" s="9">
        <v>172.7</v>
      </c>
      <c r="T23" s="9">
        <v>178.5</v>
      </c>
      <c r="U23" s="9">
        <v>169</v>
      </c>
      <c r="V23" s="9">
        <v>178.8</v>
      </c>
      <c r="W23" s="9">
        <v>168.5</v>
      </c>
      <c r="X23" s="9">
        <v>176.8</v>
      </c>
      <c r="Y23" s="9">
        <v>161.9</v>
      </c>
      <c r="Z23" s="9">
        <v>166.9</v>
      </c>
      <c r="AA23" s="9">
        <v>172.3</v>
      </c>
      <c r="AB23" s="9">
        <v>171.2</v>
      </c>
      <c r="AC23" s="9">
        <v>169.1</v>
      </c>
      <c r="AD23" s="9">
        <v>174.3</v>
      </c>
    </row>
    <row r="24" spans="1:30" ht="14.4" x14ac:dyDescent="0.3">
      <c r="A24" s="2">
        <v>2022</v>
      </c>
      <c r="B24" s="65" t="s">
        <v>42</v>
      </c>
      <c r="C24" s="67">
        <v>90.71</v>
      </c>
      <c r="D24" s="66">
        <v>163.5</v>
      </c>
      <c r="E24" s="9">
        <v>209.2</v>
      </c>
      <c r="F24" s="9">
        <v>169.7</v>
      </c>
      <c r="G24" s="9">
        <v>169.7</v>
      </c>
      <c r="H24" s="9">
        <v>188.7</v>
      </c>
      <c r="I24" s="9">
        <v>165.7</v>
      </c>
      <c r="J24" s="9">
        <v>191.8</v>
      </c>
      <c r="K24" s="9">
        <v>169.1</v>
      </c>
      <c r="L24" s="9">
        <v>121.6</v>
      </c>
      <c r="M24" s="9">
        <v>197.3</v>
      </c>
      <c r="N24" s="9">
        <v>169.4</v>
      </c>
      <c r="O24" s="9">
        <v>187.4</v>
      </c>
      <c r="P24" s="9">
        <v>177.8</v>
      </c>
      <c r="Q24" s="9">
        <v>195.9</v>
      </c>
      <c r="R24" s="9">
        <v>180.9</v>
      </c>
      <c r="S24" s="9">
        <v>174.3</v>
      </c>
      <c r="T24" s="9">
        <v>179.9</v>
      </c>
      <c r="U24" s="9">
        <v>169.5</v>
      </c>
      <c r="V24" s="9">
        <v>179.5</v>
      </c>
      <c r="W24" s="9">
        <v>169.5</v>
      </c>
      <c r="X24" s="9">
        <v>177.8</v>
      </c>
      <c r="Y24" s="9">
        <v>162.30000000000001</v>
      </c>
      <c r="Z24" s="9">
        <v>167.6</v>
      </c>
      <c r="AA24" s="9">
        <v>173.1</v>
      </c>
      <c r="AB24" s="9">
        <v>170.9</v>
      </c>
      <c r="AC24" s="9">
        <v>169.7</v>
      </c>
      <c r="AD24" s="9">
        <v>175.3</v>
      </c>
    </row>
    <row r="25" spans="1:30" ht="14.4" x14ac:dyDescent="0.3">
      <c r="A25" s="2">
        <v>2022</v>
      </c>
      <c r="B25" s="65" t="s">
        <v>43</v>
      </c>
      <c r="C25" s="67">
        <v>91.7</v>
      </c>
      <c r="D25" s="66">
        <v>165.2</v>
      </c>
      <c r="E25" s="9">
        <v>210.9</v>
      </c>
      <c r="F25" s="9">
        <v>170.9</v>
      </c>
      <c r="G25" s="9">
        <v>170.9</v>
      </c>
      <c r="H25" s="9">
        <v>186.5</v>
      </c>
      <c r="I25" s="9">
        <v>163.80000000000001</v>
      </c>
      <c r="J25" s="9">
        <v>199.7</v>
      </c>
      <c r="K25" s="9">
        <v>169.8</v>
      </c>
      <c r="L25" s="9">
        <v>121.9</v>
      </c>
      <c r="M25" s="9">
        <v>199.9</v>
      </c>
      <c r="N25" s="9">
        <v>169.9</v>
      </c>
      <c r="O25" s="9">
        <v>188.3</v>
      </c>
      <c r="P25" s="9">
        <v>179.6</v>
      </c>
      <c r="Q25" s="9">
        <v>196.3</v>
      </c>
      <c r="R25" s="9">
        <v>181.9</v>
      </c>
      <c r="S25" s="9">
        <v>175.3</v>
      </c>
      <c r="T25" s="9">
        <v>181</v>
      </c>
      <c r="U25" s="9">
        <v>171.2</v>
      </c>
      <c r="V25" s="9">
        <v>180.5</v>
      </c>
      <c r="W25" s="9">
        <v>170.4</v>
      </c>
      <c r="X25" s="9">
        <v>178.7</v>
      </c>
      <c r="Y25" s="9">
        <v>162.9</v>
      </c>
      <c r="Z25" s="9">
        <v>168.2</v>
      </c>
      <c r="AA25" s="9">
        <v>173.4</v>
      </c>
      <c r="AB25" s="9">
        <v>172.1</v>
      </c>
      <c r="AC25" s="9">
        <v>170.5</v>
      </c>
      <c r="AD25" s="9">
        <v>176.7</v>
      </c>
    </row>
    <row r="26" spans="1:30" ht="14.4" x14ac:dyDescent="0.3">
      <c r="A26" s="2">
        <v>2022</v>
      </c>
      <c r="B26" s="65" t="s">
        <v>44</v>
      </c>
      <c r="C26" s="67">
        <v>87.55</v>
      </c>
      <c r="D26" s="66">
        <v>167.4</v>
      </c>
      <c r="E26" s="9">
        <v>209.4</v>
      </c>
      <c r="F26" s="9">
        <v>181.4</v>
      </c>
      <c r="G26" s="9">
        <v>172.3</v>
      </c>
      <c r="H26" s="9">
        <v>188.9</v>
      </c>
      <c r="I26" s="9">
        <v>160.69999999999999</v>
      </c>
      <c r="J26" s="9">
        <v>183.1</v>
      </c>
      <c r="K26" s="9">
        <v>170.5</v>
      </c>
      <c r="L26" s="9">
        <v>122.1</v>
      </c>
      <c r="M26" s="9">
        <v>202.8</v>
      </c>
      <c r="N26" s="9">
        <v>170.4</v>
      </c>
      <c r="O26" s="9">
        <v>189.5</v>
      </c>
      <c r="P26" s="9">
        <v>178.3</v>
      </c>
      <c r="Q26" s="9">
        <v>196.9</v>
      </c>
      <c r="R26" s="9">
        <v>183.1</v>
      </c>
      <c r="S26" s="9">
        <v>176.2</v>
      </c>
      <c r="T26" s="9">
        <v>182.1</v>
      </c>
      <c r="U26" s="9">
        <v>171.8</v>
      </c>
      <c r="V26" s="9">
        <v>181.3</v>
      </c>
      <c r="W26" s="9">
        <v>171.4</v>
      </c>
      <c r="X26" s="9">
        <v>179.8</v>
      </c>
      <c r="Y26" s="9">
        <v>163</v>
      </c>
      <c r="Z26" s="9">
        <v>168.5</v>
      </c>
      <c r="AA26" s="9">
        <v>173.7</v>
      </c>
      <c r="AB26" s="9">
        <v>173.6</v>
      </c>
      <c r="AC26" s="9">
        <v>171.1</v>
      </c>
      <c r="AD26" s="9">
        <v>176.5</v>
      </c>
    </row>
    <row r="27" spans="1:30" ht="14.4" x14ac:dyDescent="0.3">
      <c r="A27" s="2">
        <v>2022</v>
      </c>
      <c r="B27" s="65" t="s">
        <v>45</v>
      </c>
      <c r="C27" s="67">
        <v>78.099999999999994</v>
      </c>
      <c r="D27" s="66">
        <v>169.2</v>
      </c>
      <c r="E27" s="9">
        <v>209</v>
      </c>
      <c r="F27" s="9">
        <v>190.2</v>
      </c>
      <c r="G27" s="9">
        <v>173.6</v>
      </c>
      <c r="H27" s="9">
        <v>188.5</v>
      </c>
      <c r="I27" s="9">
        <v>158</v>
      </c>
      <c r="J27" s="9">
        <v>159.9</v>
      </c>
      <c r="K27" s="9">
        <v>170.8</v>
      </c>
      <c r="L27" s="9">
        <v>121.8</v>
      </c>
      <c r="M27" s="9">
        <v>205.2</v>
      </c>
      <c r="N27" s="9">
        <v>171</v>
      </c>
      <c r="O27" s="9">
        <v>190.3</v>
      </c>
      <c r="P27" s="9">
        <v>175.9</v>
      </c>
      <c r="Q27" s="9">
        <v>197.3</v>
      </c>
      <c r="R27" s="9">
        <v>184</v>
      </c>
      <c r="S27" s="9">
        <v>177</v>
      </c>
      <c r="T27" s="9">
        <v>183</v>
      </c>
      <c r="U27" s="9">
        <v>170.7</v>
      </c>
      <c r="V27" s="9">
        <v>182</v>
      </c>
      <c r="W27" s="9">
        <v>172.1</v>
      </c>
      <c r="X27" s="9">
        <v>181.1</v>
      </c>
      <c r="Y27" s="9">
        <v>163.4</v>
      </c>
      <c r="Z27" s="9">
        <v>168.9</v>
      </c>
      <c r="AA27" s="9">
        <v>174.1</v>
      </c>
      <c r="AB27" s="9">
        <v>175.8</v>
      </c>
      <c r="AC27" s="9">
        <v>172</v>
      </c>
      <c r="AD27" s="9">
        <v>175.7</v>
      </c>
    </row>
    <row r="28" spans="1:30" ht="14.4" x14ac:dyDescent="0.3">
      <c r="A28" s="2">
        <v>2023</v>
      </c>
      <c r="B28" s="65" t="s">
        <v>31</v>
      </c>
      <c r="C28" s="67">
        <v>80.92</v>
      </c>
      <c r="D28" s="66">
        <v>173.8</v>
      </c>
      <c r="E28" s="9">
        <v>210.7</v>
      </c>
      <c r="F28" s="9">
        <v>194.5</v>
      </c>
      <c r="G28" s="9">
        <v>174.6</v>
      </c>
      <c r="H28" s="9">
        <v>187.2</v>
      </c>
      <c r="I28" s="9">
        <v>158.30000000000001</v>
      </c>
      <c r="J28" s="9">
        <v>153.9</v>
      </c>
      <c r="K28" s="9">
        <v>170.9</v>
      </c>
      <c r="L28" s="9">
        <v>121.1</v>
      </c>
      <c r="M28" s="9">
        <v>208.4</v>
      </c>
      <c r="N28" s="9">
        <v>171.4</v>
      </c>
      <c r="O28" s="9">
        <v>191.2</v>
      </c>
      <c r="P28" s="9">
        <v>176.7</v>
      </c>
      <c r="Q28" s="9">
        <v>198.2</v>
      </c>
      <c r="R28" s="9">
        <v>184.9</v>
      </c>
      <c r="S28" s="9">
        <v>177.6</v>
      </c>
      <c r="T28" s="9">
        <v>183.8</v>
      </c>
      <c r="U28" s="9">
        <v>172.1</v>
      </c>
      <c r="V28" s="9">
        <v>182</v>
      </c>
      <c r="W28" s="9">
        <v>172.9</v>
      </c>
      <c r="X28" s="9">
        <v>182.3</v>
      </c>
      <c r="Y28" s="9">
        <v>163.6</v>
      </c>
      <c r="Z28" s="9">
        <v>169.5</v>
      </c>
      <c r="AA28" s="9">
        <v>174.3</v>
      </c>
      <c r="AB28" s="9">
        <v>178.6</v>
      </c>
      <c r="AC28" s="9">
        <v>172.8</v>
      </c>
      <c r="AD28" s="9">
        <v>176.5</v>
      </c>
    </row>
    <row r="29" spans="1:30" ht="14.4" x14ac:dyDescent="0.3">
      <c r="A29" s="2">
        <v>2023</v>
      </c>
      <c r="B29" s="65" t="s">
        <v>35</v>
      </c>
      <c r="C29" s="67">
        <v>82.28</v>
      </c>
      <c r="D29" s="66">
        <v>174.4</v>
      </c>
      <c r="E29" s="9">
        <v>207.7</v>
      </c>
      <c r="F29" s="9">
        <v>175.2</v>
      </c>
      <c r="G29" s="9">
        <v>177.3</v>
      </c>
      <c r="H29" s="9">
        <v>179.3</v>
      </c>
      <c r="I29" s="9">
        <v>169.5</v>
      </c>
      <c r="J29" s="9">
        <v>152.69999999999999</v>
      </c>
      <c r="K29" s="9">
        <v>171</v>
      </c>
      <c r="L29" s="9">
        <v>120</v>
      </c>
      <c r="M29" s="9">
        <v>209.7</v>
      </c>
      <c r="N29" s="9">
        <v>172.3</v>
      </c>
      <c r="O29" s="9">
        <v>193</v>
      </c>
      <c r="P29" s="9">
        <v>177</v>
      </c>
      <c r="Q29" s="9">
        <v>199.5</v>
      </c>
      <c r="R29" s="9">
        <v>186.2</v>
      </c>
      <c r="S29" s="9">
        <v>178.7</v>
      </c>
      <c r="T29" s="9">
        <v>185.1</v>
      </c>
      <c r="U29" s="9">
        <v>173.5</v>
      </c>
      <c r="V29" s="9">
        <v>182.1</v>
      </c>
      <c r="W29" s="9">
        <v>174.2</v>
      </c>
      <c r="X29" s="9">
        <v>184.4</v>
      </c>
      <c r="Y29" s="9">
        <v>164.2</v>
      </c>
      <c r="Z29" s="9">
        <v>170.3</v>
      </c>
      <c r="AA29" s="9">
        <v>175</v>
      </c>
      <c r="AB29" s="9">
        <v>181</v>
      </c>
      <c r="AC29" s="9">
        <v>174.1</v>
      </c>
      <c r="AD29" s="9">
        <v>177.2</v>
      </c>
    </row>
    <row r="30" spans="1:30" ht="14.4" x14ac:dyDescent="0.3">
      <c r="A30" s="2">
        <v>2023</v>
      </c>
      <c r="B30" s="65" t="s">
        <v>36</v>
      </c>
      <c r="C30" s="67">
        <v>78.540000000000006</v>
      </c>
      <c r="D30" s="66">
        <v>174.4</v>
      </c>
      <c r="E30" s="9">
        <v>207.7</v>
      </c>
      <c r="F30" s="9">
        <v>175.2</v>
      </c>
      <c r="G30" s="9">
        <v>177.3</v>
      </c>
      <c r="H30" s="9">
        <v>179.2</v>
      </c>
      <c r="I30" s="9">
        <v>169.5</v>
      </c>
      <c r="J30" s="9">
        <v>152.80000000000001</v>
      </c>
      <c r="K30" s="9">
        <v>171.1</v>
      </c>
      <c r="L30" s="9">
        <v>120</v>
      </c>
      <c r="M30" s="9">
        <v>209.7</v>
      </c>
      <c r="N30" s="9">
        <v>172.3</v>
      </c>
      <c r="O30" s="9">
        <v>193</v>
      </c>
      <c r="P30" s="9">
        <v>177</v>
      </c>
      <c r="Q30" s="9">
        <v>199.5</v>
      </c>
      <c r="R30" s="9">
        <v>186.1</v>
      </c>
      <c r="S30" s="9">
        <v>178.7</v>
      </c>
      <c r="T30" s="9">
        <v>185.1</v>
      </c>
      <c r="U30" s="9">
        <v>173.5</v>
      </c>
      <c r="V30" s="9">
        <v>181.9</v>
      </c>
      <c r="W30" s="9">
        <v>174.2</v>
      </c>
      <c r="X30" s="9">
        <v>184.4</v>
      </c>
      <c r="Y30" s="9">
        <v>164.2</v>
      </c>
      <c r="Z30" s="9">
        <v>170.3</v>
      </c>
      <c r="AA30" s="9">
        <v>175</v>
      </c>
      <c r="AB30" s="9">
        <v>181</v>
      </c>
      <c r="AC30" s="9">
        <v>174.1</v>
      </c>
      <c r="AD30" s="9">
        <v>177.2</v>
      </c>
    </row>
    <row r="31" spans="1:30" ht="14.4" x14ac:dyDescent="0.3">
      <c r="A31" s="2">
        <v>2023</v>
      </c>
      <c r="B31" s="65" t="s">
        <v>37</v>
      </c>
      <c r="C31" s="67">
        <v>83.76</v>
      </c>
      <c r="D31" s="66">
        <v>173.8</v>
      </c>
      <c r="E31" s="9">
        <v>209.3</v>
      </c>
      <c r="F31" s="9">
        <v>169.6</v>
      </c>
      <c r="G31" s="9">
        <v>178.4</v>
      </c>
      <c r="H31" s="9">
        <v>174.9</v>
      </c>
      <c r="I31" s="9">
        <v>176.3</v>
      </c>
      <c r="J31" s="9">
        <v>155.4</v>
      </c>
      <c r="K31" s="9">
        <v>173.4</v>
      </c>
      <c r="L31" s="9">
        <v>121.3</v>
      </c>
      <c r="M31" s="9">
        <v>212.9</v>
      </c>
      <c r="N31" s="9">
        <v>172.9</v>
      </c>
      <c r="O31" s="9">
        <v>193.5</v>
      </c>
      <c r="P31" s="9">
        <v>177.9</v>
      </c>
      <c r="Q31" s="9">
        <v>200.6</v>
      </c>
      <c r="R31" s="9">
        <v>186.9</v>
      </c>
      <c r="S31" s="9">
        <v>179.2</v>
      </c>
      <c r="T31" s="9">
        <v>185.7</v>
      </c>
      <c r="U31" s="9">
        <v>175.2</v>
      </c>
      <c r="V31" s="9">
        <v>181.7</v>
      </c>
      <c r="W31" s="9">
        <v>174.6</v>
      </c>
      <c r="X31" s="9">
        <v>185</v>
      </c>
      <c r="Y31" s="9">
        <v>164.5</v>
      </c>
      <c r="Z31" s="9">
        <v>170.7</v>
      </c>
      <c r="AA31" s="9">
        <v>176.4</v>
      </c>
      <c r="AB31" s="9">
        <v>184</v>
      </c>
      <c r="AC31" s="9">
        <v>175</v>
      </c>
      <c r="AD31" s="9">
        <v>178.1</v>
      </c>
    </row>
    <row r="32" spans="1:30" ht="14.4" x14ac:dyDescent="0.3">
      <c r="A32" s="2">
        <v>2023</v>
      </c>
      <c r="B32" s="65" t="s">
        <v>38</v>
      </c>
      <c r="C32" s="67">
        <v>74.98</v>
      </c>
      <c r="D32" s="66">
        <v>173.7</v>
      </c>
      <c r="E32" s="9">
        <v>214.3</v>
      </c>
      <c r="F32" s="9">
        <v>173.2</v>
      </c>
      <c r="G32" s="9">
        <v>179.5</v>
      </c>
      <c r="H32" s="9">
        <v>170</v>
      </c>
      <c r="I32" s="9">
        <v>172.2</v>
      </c>
      <c r="J32" s="9">
        <v>161</v>
      </c>
      <c r="K32" s="9">
        <v>175.6</v>
      </c>
      <c r="L32" s="9">
        <v>122.7</v>
      </c>
      <c r="M32" s="9">
        <v>218</v>
      </c>
      <c r="N32" s="9">
        <v>173.4</v>
      </c>
      <c r="O32" s="9">
        <v>194.2</v>
      </c>
      <c r="P32" s="9">
        <v>179.1</v>
      </c>
      <c r="Q32" s="9">
        <v>201</v>
      </c>
      <c r="R32" s="9">
        <v>187.3</v>
      </c>
      <c r="S32" s="9">
        <v>179.7</v>
      </c>
      <c r="T32" s="9">
        <v>186.2</v>
      </c>
      <c r="U32" s="9">
        <v>175.6</v>
      </c>
      <c r="V32" s="9">
        <v>182.8</v>
      </c>
      <c r="W32" s="9">
        <v>175.2</v>
      </c>
      <c r="X32" s="9">
        <v>185.7</v>
      </c>
      <c r="Y32" s="9">
        <v>164.8</v>
      </c>
      <c r="Z32" s="9">
        <v>171.2</v>
      </c>
      <c r="AA32" s="9">
        <v>177.1</v>
      </c>
      <c r="AB32" s="9">
        <v>185.2</v>
      </c>
      <c r="AC32" s="9">
        <v>175.7</v>
      </c>
      <c r="AD32" s="9">
        <v>179.1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105A-3611-43DC-BB40-ED598CAF16C8}">
  <dimension ref="A1:AD39"/>
  <sheetViews>
    <sheetView topLeftCell="E1" zoomScale="84" zoomScaleNormal="80" workbookViewId="0">
      <selection activeCell="E16" sqref="E16"/>
    </sheetView>
  </sheetViews>
  <sheetFormatPr defaultRowHeight="13.8" x14ac:dyDescent="0.25"/>
  <cols>
    <col min="1" max="1" width="12.88671875" customWidth="1"/>
    <col min="2" max="2" width="17.6640625" customWidth="1"/>
    <col min="3" max="3" width="19.109375" customWidth="1"/>
    <col min="4" max="4" width="17.6640625" bestFit="1" customWidth="1"/>
    <col min="5" max="5" width="15.33203125" bestFit="1" customWidth="1"/>
    <col min="6" max="6" width="10.77734375" bestFit="1" customWidth="1"/>
    <col min="7" max="7" width="8.109375" customWidth="1"/>
    <col min="8" max="8" width="10.5546875" bestFit="1" customWidth="1"/>
    <col min="9" max="9" width="16.88671875" bestFit="1" customWidth="1"/>
    <col min="10" max="10" width="20.44140625" bestFit="1" customWidth="1"/>
    <col min="11" max="11" width="11.21875" bestFit="1" customWidth="1"/>
    <col min="12" max="12" width="20.44140625" bestFit="1" customWidth="1"/>
    <col min="13" max="13" width="30" bestFit="1" customWidth="1"/>
    <col min="14" max="14" width="17" bestFit="1" customWidth="1"/>
    <col min="15" max="15" width="23.77734375" bestFit="1" customWidth="1"/>
    <col min="16" max="17" width="10.5546875" bestFit="1" customWidth="1"/>
    <col min="18" max="18" width="18.77734375" bestFit="1" customWidth="1"/>
    <col min="19" max="19" width="10.5546875" bestFit="1" customWidth="1"/>
    <col min="20" max="20" width="11.6640625" bestFit="1" customWidth="1"/>
    <col min="21" max="21" width="25.109375" bestFit="1" customWidth="1"/>
    <col min="22" max="22" width="8.5546875" customWidth="1"/>
    <col min="23" max="23" width="25" bestFit="1" customWidth="1"/>
    <col min="24" max="24" width="23.21875" bestFit="1" customWidth="1"/>
    <col min="25" max="25" width="11.21875" bestFit="1" customWidth="1"/>
    <col min="26" max="26" width="21" bestFit="1" customWidth="1"/>
    <col min="27" max="27" width="12.33203125" bestFit="1" customWidth="1"/>
    <col min="28" max="28" width="12.109375" bestFit="1" customWidth="1"/>
    <col min="29" max="29" width="12.33203125" bestFit="1" customWidth="1"/>
    <col min="30" max="30" width="12.109375" bestFit="1" customWidth="1"/>
  </cols>
  <sheetData>
    <row r="1" spans="1:30" x14ac:dyDescent="0.25">
      <c r="A1" s="16" t="s">
        <v>104</v>
      </c>
    </row>
    <row r="3" spans="1:30" ht="14.4" x14ac:dyDescent="0.3">
      <c r="A3" s="1" t="s">
        <v>1</v>
      </c>
      <c r="B3" s="1" t="s">
        <v>2</v>
      </c>
      <c r="C3" s="69" t="s">
        <v>101</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row>
    <row r="4" spans="1:30" ht="14.4" x14ac:dyDescent="0.3">
      <c r="A4" s="2">
        <v>2021</v>
      </c>
      <c r="B4" s="2" t="s">
        <v>31</v>
      </c>
      <c r="C4" s="6"/>
      <c r="D4" s="6"/>
      <c r="E4" s="6"/>
      <c r="F4" s="6"/>
      <c r="G4" s="6"/>
      <c r="H4" s="6"/>
      <c r="I4" s="6"/>
      <c r="J4" s="6"/>
      <c r="K4" s="6"/>
      <c r="L4" s="6"/>
      <c r="M4" s="6"/>
      <c r="N4" s="6"/>
      <c r="O4" s="6"/>
      <c r="P4" s="6"/>
      <c r="Q4" s="6"/>
      <c r="R4" s="6"/>
      <c r="S4" s="6"/>
      <c r="T4" s="6"/>
      <c r="U4" s="6"/>
      <c r="V4" s="6"/>
      <c r="W4" s="6"/>
      <c r="X4" s="6"/>
      <c r="Y4" s="6"/>
      <c r="Z4" s="6"/>
      <c r="AA4" s="6"/>
      <c r="AB4" s="6"/>
      <c r="AC4" s="6"/>
      <c r="AD4" s="6"/>
    </row>
    <row r="5" spans="1:30" ht="14.4" x14ac:dyDescent="0.3">
      <c r="A5" s="2">
        <v>2021</v>
      </c>
      <c r="B5" s="2" t="s">
        <v>35</v>
      </c>
      <c r="C5" s="19">
        <f>('Question 5 (Data)'!C5-'Question 5 (Data)'!C4)/'Question 5 (Data)'!C4</f>
        <v>0.11735718196751231</v>
      </c>
      <c r="D5" s="19">
        <f>('Question 5 (Data)'!D5-'Question 5 (Data)'!D4)/'Question 5 (Data)'!D4</f>
        <v>-4.1407867494823621E-3</v>
      </c>
      <c r="E5" s="19">
        <f>('Question 5 (Data)'!E5-'Question 5 (Data)'!E4)/'Question 5 (Data)'!E4</f>
        <v>-1.8937401367701182E-2</v>
      </c>
      <c r="F5" s="19">
        <f>('Question 5 (Data)'!F5-'Question 5 (Data)'!F4)/'Question 5 (Data)'!F4</f>
        <v>-3.764974329720492E-2</v>
      </c>
      <c r="G5" s="19">
        <f>('Question 5 (Data)'!G5-'Question 5 (Data)'!G4)/'Question 5 (Data)'!G4</f>
        <v>3.893575600259535E-3</v>
      </c>
      <c r="H5" s="19">
        <f>('Question 5 (Data)'!H5-'Question 5 (Data)'!H4)/'Question 5 (Data)'!H4</f>
        <v>5.1689860834989942E-2</v>
      </c>
      <c r="I5" s="19">
        <f>('Question 5 (Data)'!I5-'Question 5 (Data)'!I4)/'Question 5 (Data)'!I4</f>
        <v>7.3529411764705508E-3</v>
      </c>
      <c r="J5" s="19">
        <f>('Question 5 (Data)'!J5-'Question 5 (Data)'!J4)/'Question 5 (Data)'!J4</f>
        <v>-0.17610710607621005</v>
      </c>
      <c r="K5" s="19">
        <f>('Question 5 (Data)'!K5-'Question 5 (Data)'!K4)/'Question 5 (Data)'!K4</f>
        <v>-9.9750623441396159E-3</v>
      </c>
      <c r="L5" s="19">
        <f>('Question 5 (Data)'!L5-'Question 5 (Data)'!L4)/'Question 5 (Data)'!L4</f>
        <v>-1.5706806282722488E-2</v>
      </c>
      <c r="M5" s="19">
        <f>('Question 5 (Data)'!M5-'Question 5 (Data)'!M4)/'Question 5 (Data)'!M4</f>
        <v>1.2195121951218818E-3</v>
      </c>
      <c r="N5" s="19">
        <f>('Question 5 (Data)'!N5-'Question 5 (Data)'!N4)/'Question 5 (Data)'!N4</f>
        <v>2.4374176548089516E-2</v>
      </c>
      <c r="O5" s="19">
        <f>('Question 5 (Data)'!O5-'Question 5 (Data)'!O4)/'Question 5 (Data)'!O4</f>
        <v>1.1473429951690857E-2</v>
      </c>
      <c r="P5" s="19">
        <f>('Question 5 (Data)'!P5-'Question 5 (Data)'!P4)/'Question 5 (Data)'!P4</f>
        <v>-2.5465838509316736E-2</v>
      </c>
      <c r="Q5" s="19">
        <f>('Question 5 (Data)'!Q5-'Question 5 (Data)'!Q4)/'Question 5 (Data)'!Q4</f>
        <v>9.6514745308311604E-3</v>
      </c>
      <c r="R5" s="19">
        <f>('Question 5 (Data)'!R5-'Question 5 (Data)'!R4)/'Question 5 (Data)'!R4</f>
        <v>1.09324758842443E-2</v>
      </c>
      <c r="S5" s="19">
        <f>('Question 5 (Data)'!S5-'Question 5 (Data)'!S4)/'Question 5 (Data)'!S4</f>
        <v>8.8980150581794079E-3</v>
      </c>
      <c r="T5" s="19">
        <f>('Question 5 (Data)'!T5-'Question 5 (Data)'!T4)/'Question 5 (Data)'!T4</f>
        <v>1.0376134889753716E-2</v>
      </c>
      <c r="U5" s="19">
        <f>('Question 5 (Data)'!U5-'Question 5 (Data)'!U4)/'Question 5 (Data)'!U4</f>
        <v>1.331642358909336E-2</v>
      </c>
      <c r="V5" s="19">
        <f>('Question 5 (Data)'!V5-'Question 5 (Data)'!V4)/'Question 5 (Data)'!V4</f>
        <v>3.0425963488843813E-2</v>
      </c>
      <c r="W5" s="19">
        <f>('Question 5 (Data)'!W5-'Question 5 (Data)'!W4)/'Question 5 (Data)'!W4</f>
        <v>6.0000000000000383E-3</v>
      </c>
      <c r="X5" s="19">
        <f>('Question 5 (Data)'!X5-'Question 5 (Data)'!X4)/'Question 5 (Data)'!X4</f>
        <v>1.2554927809165096E-2</v>
      </c>
      <c r="Y5" s="19">
        <f>('Question 5 (Data)'!Y5-'Question 5 (Data)'!Y4)/'Question 5 (Data)'!Y4</f>
        <v>2.2551092318534097E-2</v>
      </c>
      <c r="Z5" s="19">
        <f>('Question 5 (Data)'!Z5-'Question 5 (Data)'!Z4)/'Question 5 (Data)'!Z4</f>
        <v>1.2700534759358327E-2</v>
      </c>
      <c r="AA5" s="19">
        <f>('Question 5 (Data)'!AA5-'Question 5 (Data)'!AA4)/'Question 5 (Data)'!AA4</f>
        <v>1.8844221105528353E-3</v>
      </c>
      <c r="AB5" s="19">
        <f>('Question 5 (Data)'!AB5-'Question 5 (Data)'!AB4)/'Question 5 (Data)'!AB4</f>
        <v>-6.3775510204081625E-3</v>
      </c>
      <c r="AC5" s="19">
        <f>('Question 5 (Data)'!AC5-'Question 5 (Data)'!AC4)/'Question 5 (Data)'!AC4</f>
        <v>9.8749177090190904E-3</v>
      </c>
      <c r="AD5" s="19">
        <f>('Question 5 (Data)'!AD5-'Question 5 (Data)'!AD4)/'Question 5 (Data)'!AD4</f>
        <v>-4.4500953591863762E-3</v>
      </c>
    </row>
    <row r="6" spans="1:30" ht="14.4" x14ac:dyDescent="0.3">
      <c r="A6" s="2">
        <v>2021</v>
      </c>
      <c r="B6" s="2" t="s">
        <v>36</v>
      </c>
      <c r="C6" s="19">
        <f>('Question 5 (Data)'!C6-'Question 5 (Data)'!C5)/'Question 5 (Data)'!C5</f>
        <v>5.7334204508330697E-2</v>
      </c>
      <c r="D6" s="19">
        <f>('Question 5 (Data)'!D6-'Question 5 (Data)'!D5)/'Question 5 (Data)'!D5</f>
        <v>-1.386001386001504E-3</v>
      </c>
      <c r="E6" s="19">
        <f>('Question 5 (Data)'!E6-'Question 5 (Data)'!E5)/'Question 5 (Data)'!E5</f>
        <v>3.0563002680965085E-2</v>
      </c>
      <c r="F6" s="19">
        <f>('Question 5 (Data)'!F6-'Question 5 (Data)'!F5)/'Question 5 (Data)'!F5</f>
        <v>-2.9045643153526837E-2</v>
      </c>
      <c r="G6" s="19">
        <f>('Question 5 (Data)'!G6-'Question 5 (Data)'!G5)/'Question 5 (Data)'!G5</f>
        <v>1.2928248222366973E-3</v>
      </c>
      <c r="H6" s="19">
        <f>('Question 5 (Data)'!H6-'Question 5 (Data)'!H5)/'Question 5 (Data)'!H5</f>
        <v>3.2766225582860853E-2</v>
      </c>
      <c r="I6" s="19">
        <f>('Question 5 (Data)'!I6-'Question 5 (Data)'!I5)/'Question 5 (Data)'!I5</f>
        <v>1.9907100199071003E-2</v>
      </c>
      <c r="J6" s="19">
        <f>('Question 5 (Data)'!J6-'Question 5 (Data)'!J5)/'Question 5 (Data)'!J5</f>
        <v>-6.5625000000000003E-2</v>
      </c>
      <c r="K6" s="19">
        <f>('Question 5 (Data)'!K6-'Question 5 (Data)'!K5)/'Question 5 (Data)'!K5</f>
        <v>6.2972292191435762E-3</v>
      </c>
      <c r="L6" s="19">
        <f>('Question 5 (Data)'!L6-'Question 5 (Data)'!L5)/'Question 5 (Data)'!L5</f>
        <v>-1.7730496453900962E-3</v>
      </c>
      <c r="M6" s="19">
        <f>('Question 5 (Data)'!M6-'Question 5 (Data)'!M5)/'Question 5 (Data)'!M5</f>
        <v>-4.2630937880632682E-3</v>
      </c>
      <c r="N6" s="19">
        <f>('Question 5 (Data)'!N6-'Question 5 (Data)'!N5)/'Question 5 (Data)'!N5</f>
        <v>6.4308681672025723E-3</v>
      </c>
      <c r="O6" s="19">
        <f>('Question 5 (Data)'!O6-'Question 5 (Data)'!O5)/'Question 5 (Data)'!O5</f>
        <v>4.1791044776118723E-3</v>
      </c>
      <c r="P6" s="19">
        <f>('Question 5 (Data)'!P6-'Question 5 (Data)'!P5)/'Question 5 (Data)'!P5</f>
        <v>-1.2746972594010009E-3</v>
      </c>
      <c r="Q6" s="19">
        <f>('Question 5 (Data)'!Q6-'Question 5 (Data)'!Q5)/'Question 5 (Data)'!Q5</f>
        <v>-1.0621348911312642E-3</v>
      </c>
      <c r="R6" s="19">
        <f>('Question 5 (Data)'!R6-'Question 5 (Data)'!R5)/'Question 5 (Data)'!R5</f>
        <v>3.8167938931299157E-3</v>
      </c>
      <c r="S6" s="19">
        <f>('Question 5 (Data)'!S6-'Question 5 (Data)'!S5)/'Question 5 (Data)'!S5</f>
        <v>3.3921302578018993E-3</v>
      </c>
      <c r="T6" s="19">
        <f>('Question 5 (Data)'!T6-'Question 5 (Data)'!T5)/'Question 5 (Data)'!T5</f>
        <v>3.8510911424903356E-3</v>
      </c>
      <c r="U6" s="19">
        <f>('Question 5 (Data)'!U6-'Question 5 (Data)'!U5)/'Question 5 (Data)'!U5</f>
        <v>6.2578222778469526E-4</v>
      </c>
      <c r="V6" s="19">
        <f>('Question 5 (Data)'!V6-'Question 5 (Data)'!V5)/'Question 5 (Data)'!V5</f>
        <v>2.0341207349081326E-2</v>
      </c>
      <c r="W6" s="19">
        <f>('Question 5 (Data)'!W6-'Question 5 (Data)'!W5)/'Question 5 (Data)'!W5</f>
        <v>1.9880715705764278E-3</v>
      </c>
      <c r="X6" s="19">
        <f>('Question 5 (Data)'!X6-'Question 5 (Data)'!X5)/'Question 5 (Data)'!X5</f>
        <v>2.4798512089273233E-3</v>
      </c>
      <c r="Y6" s="19">
        <f>('Question 5 (Data)'!Y6-'Question 5 (Data)'!Y5)/'Question 5 (Data)'!Y5</f>
        <v>7.5809786354238068E-3</v>
      </c>
      <c r="Z6" s="19">
        <f>('Question 5 (Data)'!Z6-'Question 5 (Data)'!Z5)/'Question 5 (Data)'!Z5</f>
        <v>7.2607260726072235E-3</v>
      </c>
      <c r="AA6" s="19">
        <f>('Question 5 (Data)'!AA6-'Question 5 (Data)'!AA5)/'Question 5 (Data)'!AA5</f>
        <v>4.3887147335422488E-3</v>
      </c>
      <c r="AB6" s="19">
        <f>('Question 5 (Data)'!AB6-'Question 5 (Data)'!AB5)/'Question 5 (Data)'!AB5</f>
        <v>-1.2836970474967907E-2</v>
      </c>
      <c r="AC6" s="19">
        <f>('Question 5 (Data)'!AC6-'Question 5 (Data)'!AC5)/'Question 5 (Data)'!AC5</f>
        <v>2.6075619295958647E-3</v>
      </c>
      <c r="AD6" s="19">
        <f>('Question 5 (Data)'!AD6-'Question 5 (Data)'!AD5)/'Question 5 (Data)'!AD5</f>
        <v>1.2771392081737999E-3</v>
      </c>
    </row>
    <row r="7" spans="1:30" ht="14.4" x14ac:dyDescent="0.3">
      <c r="A7" s="2">
        <v>2021</v>
      </c>
      <c r="B7" s="2" t="s">
        <v>37</v>
      </c>
      <c r="C7" s="19">
        <f>('Question 5 (Data)'!C7-'Question 5 (Data)'!C6)/'Question 5 (Data)'!C6</f>
        <v>-2.0546887069365138E-2</v>
      </c>
      <c r="D7" s="19">
        <f>('Question 5 (Data)'!D7-'Question 5 (Data)'!D6)/'Question 5 (Data)'!D6</f>
        <v>1.3879250520473078E-3</v>
      </c>
      <c r="E7" s="19">
        <f>('Question 5 (Data)'!E7-'Question 5 (Data)'!E6)/'Question 5 (Data)'!E6</f>
        <v>3.0176899063475607E-2</v>
      </c>
      <c r="F7" s="19">
        <f>('Question 5 (Data)'!F7-'Question 5 (Data)'!F6)/'Question 5 (Data)'!F6</f>
        <v>4.8840048840047799E-3</v>
      </c>
      <c r="G7" s="19">
        <f>('Question 5 (Data)'!G7-'Question 5 (Data)'!G6)/'Question 5 (Data)'!G6</f>
        <v>3.2278889606197547E-3</v>
      </c>
      <c r="H7" s="19">
        <f>('Question 5 (Data)'!H7-'Question 5 (Data)'!H6)/'Question 5 (Data)'!H6</f>
        <v>3.7827943868212255E-2</v>
      </c>
      <c r="I7" s="19">
        <f>('Question 5 (Data)'!I7-'Question 5 (Data)'!I6)/'Question 5 (Data)'!I6</f>
        <v>6.9616135328562256E-2</v>
      </c>
      <c r="J7" s="19">
        <f>('Question 5 (Data)'!J7-'Question 5 (Data)'!J6)/'Question 5 (Data)'!J6</f>
        <v>-3.6120401337792679E-2</v>
      </c>
      <c r="K7" s="19">
        <f>('Question 5 (Data)'!K7-'Question 5 (Data)'!K6)/'Question 5 (Data)'!K6</f>
        <v>1.1889862327909744E-2</v>
      </c>
      <c r="L7" s="19">
        <f>('Question 5 (Data)'!L7-'Question 5 (Data)'!L6)/'Question 5 (Data)'!L6</f>
        <v>4.4404973357015992E-3</v>
      </c>
      <c r="M7" s="19">
        <f>('Question 5 (Data)'!M7-'Question 5 (Data)'!M6)/'Question 5 (Data)'!M6</f>
        <v>2.4464831804281695E-3</v>
      </c>
      <c r="N7" s="19">
        <f>('Question 5 (Data)'!N7-'Question 5 (Data)'!N6)/'Question 5 (Data)'!N6</f>
        <v>7.0287539936101876E-3</v>
      </c>
      <c r="O7" s="19">
        <f>('Question 5 (Data)'!O7-'Question 5 (Data)'!O6)/'Question 5 (Data)'!O6</f>
        <v>4.1617122473247151E-3</v>
      </c>
      <c r="P7" s="19">
        <f>('Question 5 (Data)'!P7-'Question 5 (Data)'!P6)/'Question 5 (Data)'!P6</f>
        <v>8.2961072112317253E-3</v>
      </c>
      <c r="Q7" s="19">
        <f>('Question 5 (Data)'!Q7-'Question 5 (Data)'!Q6)/'Question 5 (Data)'!Q6</f>
        <v>3.7214247740564436E-3</v>
      </c>
      <c r="R7" s="19">
        <f>('Question 5 (Data)'!R7-'Question 5 (Data)'!R6)/'Question 5 (Data)'!R6</f>
        <v>6.3371356147021544E-3</v>
      </c>
      <c r="S7" s="19">
        <f>('Question 5 (Data)'!S7-'Question 5 (Data)'!S6)/'Question 5 (Data)'!S6</f>
        <v>4.0567951318458036E-3</v>
      </c>
      <c r="T7" s="19">
        <f>('Question 5 (Data)'!T7-'Question 5 (Data)'!T6)/'Question 5 (Data)'!T6</f>
        <v>5.7544757033248439E-3</v>
      </c>
      <c r="U7" s="19">
        <f>('Question 5 (Data)'!U7-'Question 5 (Data)'!U6)/'Question 5 (Data)'!U6</f>
        <v>9.3808630393996239E-3</v>
      </c>
      <c r="V7" s="19">
        <f>('Question 5 (Data)'!V7-'Question 5 (Data)'!V6)/'Question 5 (Data)'!V6</f>
        <v>6.4308681672022071E-4</v>
      </c>
      <c r="W7" s="19">
        <f>('Question 5 (Data)'!W7-'Question 5 (Data)'!W6)/'Question 5 (Data)'!W6</f>
        <v>3.968253968254119E-3</v>
      </c>
      <c r="X7" s="19">
        <f>('Question 5 (Data)'!X7-'Question 5 (Data)'!X6)/'Question 5 (Data)'!X6</f>
        <v>3.7105751391467087E-3</v>
      </c>
      <c r="Y7" s="19">
        <f>('Question 5 (Data)'!Y7-'Question 5 (Data)'!Y6)/'Question 5 (Data)'!Y6</f>
        <v>2.7359781121751416E-3</v>
      </c>
      <c r="Z7" s="19">
        <f>('Question 5 (Data)'!Z7-'Question 5 (Data)'!Z6)/'Question 5 (Data)'!Z6</f>
        <v>3.9318479685451794E-3</v>
      </c>
      <c r="AA7" s="19">
        <f>('Question 5 (Data)'!AA7-'Question 5 (Data)'!AA6)/'Question 5 (Data)'!AA6</f>
        <v>6.2421972534346278E-4</v>
      </c>
      <c r="AB7" s="19">
        <f>('Question 5 (Data)'!AB7-'Question 5 (Data)'!AB6)/'Question 5 (Data)'!AB6</f>
        <v>1.0403120936280846E-2</v>
      </c>
      <c r="AC7" s="19">
        <f>('Question 5 (Data)'!AC7-'Question 5 (Data)'!AC6)/'Question 5 (Data)'!AC6</f>
        <v>3.9011703511052944E-3</v>
      </c>
      <c r="AD7" s="19">
        <f>('Question 5 (Data)'!AD7-'Question 5 (Data)'!AD6)/'Question 5 (Data)'!AD6</f>
        <v>6.3775510204081625E-3</v>
      </c>
    </row>
    <row r="8" spans="1:30" ht="14.4" x14ac:dyDescent="0.3">
      <c r="A8" s="2">
        <v>2021</v>
      </c>
      <c r="B8" s="2" t="s">
        <v>38</v>
      </c>
      <c r="C8" s="19">
        <f>('Question 5 (Data)'!C8-'Question 5 (Data)'!C7)/'Question 5 (Data)'!C7</f>
        <v>5.5993690851735084E-2</v>
      </c>
      <c r="D8" s="19">
        <f>('Question 5 (Data)'!D8-'Question 5 (Data)'!D7)/'Question 5 (Data)'!D7</f>
        <v>1.386001386001386E-2</v>
      </c>
      <c r="E8" s="19">
        <f>('Question 5 (Data)'!E8-'Question 5 (Data)'!E7)/'Question 5 (Data)'!E7</f>
        <v>1.2626262626262626E-2</v>
      </c>
      <c r="F8" s="19">
        <f>('Question 5 (Data)'!F8-'Question 5 (Data)'!F7)/'Question 5 (Data)'!F7</f>
        <v>3.4629404617254056E-2</v>
      </c>
      <c r="G8" s="19">
        <f>('Question 5 (Data)'!G8-'Question 5 (Data)'!G7)/'Question 5 (Data)'!G7</f>
        <v>4.5045045045044316E-3</v>
      </c>
      <c r="H8" s="19">
        <f>('Question 5 (Data)'!H8-'Question 5 (Data)'!H7)/'Question 5 (Data)'!H7</f>
        <v>5.0558495002939415E-2</v>
      </c>
      <c r="I8" s="19">
        <f>('Question 5 (Data)'!I8-'Question 5 (Data)'!I7)/'Question 5 (Data)'!I7</f>
        <v>1.6423357664233508E-2</v>
      </c>
      <c r="J8" s="19">
        <f>('Question 5 (Data)'!J8-'Question 5 (Data)'!J7)/'Question 5 (Data)'!J7</f>
        <v>2.637057598889668E-2</v>
      </c>
      <c r="K8" s="19">
        <f>('Question 5 (Data)'!K8-'Question 5 (Data)'!K7)/'Question 5 (Data)'!K7</f>
        <v>2.2881880024737275E-2</v>
      </c>
      <c r="L8" s="19">
        <f>('Question 5 (Data)'!L8-'Question 5 (Data)'!L7)/'Question 5 (Data)'!L7</f>
        <v>1.503094606542885E-2</v>
      </c>
      <c r="M8" s="19">
        <f>('Question 5 (Data)'!M8-'Question 5 (Data)'!M7)/'Question 5 (Data)'!M7</f>
        <v>2.6235509456985863E-2</v>
      </c>
      <c r="N8" s="19">
        <f>('Question 5 (Data)'!N8-'Question 5 (Data)'!N7)/'Question 5 (Data)'!N7</f>
        <v>1.0786802030456961E-2</v>
      </c>
      <c r="O8" s="19">
        <f>('Question 5 (Data)'!O8-'Question 5 (Data)'!O7)/'Question 5 (Data)'!O7</f>
        <v>8.8809946714031966E-3</v>
      </c>
      <c r="P8" s="19">
        <f>('Question 5 (Data)'!P8-'Question 5 (Data)'!P7)/'Question 5 (Data)'!P7</f>
        <v>1.7088607594936637E-2</v>
      </c>
      <c r="Q8" s="19">
        <f>('Question 5 (Data)'!Q8-'Question 5 (Data)'!Q7)/'Question 5 (Data)'!Q7</f>
        <v>1.6419491525423699E-2</v>
      </c>
      <c r="R8" s="19">
        <f>('Question 5 (Data)'!R8-'Question 5 (Data)'!R7)/'Question 5 (Data)'!R7</f>
        <v>1.8891687657430729E-2</v>
      </c>
      <c r="S8" s="19">
        <f>('Question 5 (Data)'!S8-'Question 5 (Data)'!S7)/'Question 5 (Data)'!S7</f>
        <v>2.4242424242424204E-2</v>
      </c>
      <c r="T8" s="19">
        <f>('Question 5 (Data)'!T8-'Question 5 (Data)'!T7)/'Question 5 (Data)'!T7</f>
        <v>1.9707565162110578E-2</v>
      </c>
      <c r="U8" s="19">
        <f>('Question 5 (Data)'!U8-'Question 5 (Data)'!U7)/'Question 5 (Data)'!U7</f>
        <v>1.2391573729862988E-3</v>
      </c>
      <c r="V8" s="19">
        <f>('Question 5 (Data)'!V8-'Question 5 (Data)'!V7)/'Question 5 (Data)'!V7</f>
        <v>2.4421593830334265E-2</v>
      </c>
      <c r="W8" s="19">
        <f>('Question 5 (Data)'!W8-'Question 5 (Data)'!W7)/'Question 5 (Data)'!W7</f>
        <v>1.9104084321475475E-2</v>
      </c>
      <c r="X8" s="19">
        <f>('Question 5 (Data)'!X8-'Question 5 (Data)'!X7)/'Question 5 (Data)'!X7</f>
        <v>2.1565003080714726E-2</v>
      </c>
      <c r="Y8" s="19">
        <f>('Question 5 (Data)'!Y8-'Question 5 (Data)'!Y7)/'Question 5 (Data)'!Y7</f>
        <v>1.568894952251031E-2</v>
      </c>
      <c r="Z8" s="19">
        <f>('Question 5 (Data)'!Z8-'Question 5 (Data)'!Z7)/'Question 5 (Data)'!Z7</f>
        <v>1.6971279373368297E-2</v>
      </c>
      <c r="AA8" s="19">
        <f>('Question 5 (Data)'!AA8-'Question 5 (Data)'!AA7)/'Question 5 (Data)'!AA7</f>
        <v>5.6144728633810183E-3</v>
      </c>
      <c r="AB8" s="19">
        <f>('Question 5 (Data)'!AB8-'Question 5 (Data)'!AB7)/'Question 5 (Data)'!AB7</f>
        <v>2.0592020592020518E-2</v>
      </c>
      <c r="AC8" s="19">
        <f>('Question 5 (Data)'!AC8-'Question 5 (Data)'!AC7)/'Question 5 (Data)'!AC7</f>
        <v>1.5544041450777238E-2</v>
      </c>
      <c r="AD8" s="19">
        <f>('Question 5 (Data)'!AD8-'Question 5 (Data)'!AD7)/'Question 5 (Data)'!AD7</f>
        <v>1.6476552598225565E-2</v>
      </c>
    </row>
    <row r="9" spans="1:30" ht="14.4" x14ac:dyDescent="0.3">
      <c r="A9" s="2">
        <v>2021</v>
      </c>
      <c r="B9" s="2" t="s">
        <v>39</v>
      </c>
      <c r="C9" s="19">
        <f>('Question 5 (Data)'!C9-'Question 5 (Data)'!C8)/'Question 5 (Data)'!C8</f>
        <v>7.5130694548170285E-2</v>
      </c>
      <c r="D9" s="19">
        <f>('Question 5 (Data)'!D9-'Question 5 (Data)'!D8)/'Question 5 (Data)'!D8</f>
        <v>2.7341079972657365E-3</v>
      </c>
      <c r="E9" s="19">
        <f>('Question 5 (Data)'!E9-'Question 5 (Data)'!E8)/'Question 5 (Data)'!E8</f>
        <v>7.481296758104738E-3</v>
      </c>
      <c r="F9" s="19">
        <f>('Question 5 (Data)'!F9-'Question 5 (Data)'!F8)/'Question 5 (Data)'!F8</f>
        <v>6.1068702290076202E-2</v>
      </c>
      <c r="G9" s="19">
        <f>('Question 5 (Data)'!G9-'Question 5 (Data)'!G8)/'Question 5 (Data)'!G8</f>
        <v>6.4061499039073878E-4</v>
      </c>
      <c r="H9" s="19">
        <f>('Question 5 (Data)'!H9-'Question 5 (Data)'!H8)/'Question 5 (Data)'!H8</f>
        <v>2.7979854504756579E-2</v>
      </c>
      <c r="I9" s="19">
        <f>('Question 5 (Data)'!I9-'Question 5 (Data)'!I8)/'Question 5 (Data)'!I8</f>
        <v>-1.4961101137043686E-2</v>
      </c>
      <c r="J9" s="19">
        <f>('Question 5 (Data)'!J9-'Question 5 (Data)'!J8)/'Question 5 (Data)'!J8</f>
        <v>5.0709939148073022E-2</v>
      </c>
      <c r="K9" s="19">
        <f>('Question 5 (Data)'!K9-'Question 5 (Data)'!K8)/'Question 5 (Data)'!K8</f>
        <v>3.6275695284159267E-3</v>
      </c>
      <c r="L9" s="19">
        <f>('Question 5 (Data)'!L9-'Question 5 (Data)'!L8)/'Question 5 (Data)'!L8</f>
        <v>2.6132404181184424E-3</v>
      </c>
      <c r="M9" s="19">
        <f>('Question 5 (Data)'!M9-'Question 5 (Data)'!M8)/'Question 5 (Data)'!M8</f>
        <v>1.7835909631391878E-3</v>
      </c>
      <c r="N9" s="19">
        <f>('Question 5 (Data)'!N9-'Question 5 (Data)'!N8)/'Question 5 (Data)'!N8</f>
        <v>4.394224733207712E-3</v>
      </c>
      <c r="O9" s="19">
        <f>('Question 5 (Data)'!O9-'Question 5 (Data)'!O8)/'Question 5 (Data)'!O8</f>
        <v>1.1737089201877934E-2</v>
      </c>
      <c r="P9" s="19">
        <f>('Question 5 (Data)'!P9-'Question 5 (Data)'!P8)/'Question 5 (Data)'!P8</f>
        <v>1.1823273179838244E-2</v>
      </c>
      <c r="Q9" s="19">
        <f>('Question 5 (Data)'!Q9-'Question 5 (Data)'!Q8)/'Question 5 (Data)'!Q8</f>
        <v>-5.7321521625846496E-3</v>
      </c>
      <c r="R9" s="19">
        <f>('Question 5 (Data)'!R9-'Question 5 (Data)'!R8)/'Question 5 (Data)'!R8</f>
        <v>2.4721878862792165E-3</v>
      </c>
      <c r="S9" s="19">
        <f>('Question 5 (Data)'!S9-'Question 5 (Data)'!S8)/'Question 5 (Data)'!S8</f>
        <v>-1.9723865877710909E-3</v>
      </c>
      <c r="T9" s="19">
        <f>('Question 5 (Data)'!T9-'Question 5 (Data)'!T8)/'Question 5 (Data)'!T8</f>
        <v>1.8703241895260782E-3</v>
      </c>
      <c r="U9" s="19">
        <f>('Question 5 (Data)'!U9-'Question 5 (Data)'!U8)/'Question 5 (Data)'!U8</f>
        <v>-6.8069306930692722E-3</v>
      </c>
      <c r="V9" s="19">
        <f>('Question 5 (Data)'!V9-'Question 5 (Data)'!V8)/'Question 5 (Data)'!V8</f>
        <v>2.5094102885822186E-3</v>
      </c>
      <c r="W9" s="19">
        <f>('Question 5 (Data)'!W9-'Question 5 (Data)'!W8)/'Question 5 (Data)'!W8</f>
        <v>6.4641241111844047E-4</v>
      </c>
      <c r="X9" s="19">
        <f>('Question 5 (Data)'!X9-'Question 5 (Data)'!X8)/'Question 5 (Data)'!X8</f>
        <v>3.0156815440289505E-3</v>
      </c>
      <c r="Y9" s="19">
        <f>('Question 5 (Data)'!Y9-'Question 5 (Data)'!Y8)/'Question 5 (Data)'!Y8</f>
        <v>1.2088650100738636E-2</v>
      </c>
      <c r="Z9" s="19">
        <f>('Question 5 (Data)'!Z9-'Question 5 (Data)'!Z8)/'Question 5 (Data)'!Z8</f>
        <v>-5.7766367137355949E-3</v>
      </c>
      <c r="AA9" s="19">
        <f>('Question 5 (Data)'!AA9-'Question 5 (Data)'!AA8)/'Question 5 (Data)'!AA8</f>
        <v>3.1017369727047149E-3</v>
      </c>
      <c r="AB9" s="19">
        <f>('Question 5 (Data)'!AB9-'Question 5 (Data)'!AB8)/'Question 5 (Data)'!AB8</f>
        <v>1.2610340479194014E-3</v>
      </c>
      <c r="AC9" s="19">
        <f>('Question 5 (Data)'!AC9-'Question 5 (Data)'!AC8)/'Question 5 (Data)'!AC8</f>
        <v>5.1020408163264218E-3</v>
      </c>
      <c r="AD9" s="19">
        <f>('Question 5 (Data)'!AD9-'Question 5 (Data)'!AD8)/'Question 5 (Data)'!AD8</f>
        <v>5.6109725685785893E-3</v>
      </c>
    </row>
    <row r="10" spans="1:30" ht="14.4" x14ac:dyDescent="0.3">
      <c r="A10" s="2">
        <v>2021</v>
      </c>
      <c r="B10" s="2" t="s">
        <v>40</v>
      </c>
      <c r="C10" s="19">
        <f>('Question 5 (Data)'!C10-'Question 5 (Data)'!C9)/'Question 5 (Data)'!C9</f>
        <v>2.1672686857460436E-2</v>
      </c>
      <c r="D10" s="19">
        <f>('Question 5 (Data)'!D10-'Question 5 (Data)'!D9)/'Question 5 (Data)'!D9</f>
        <v>-2.0449897750510087E-3</v>
      </c>
      <c r="E10" s="19">
        <f>('Question 5 (Data)'!E10-'Question 5 (Data)'!E9)/'Question 5 (Data)'!E9</f>
        <v>2.3762376237623818E-2</v>
      </c>
      <c r="F10" s="19">
        <f>('Question 5 (Data)'!F10-'Question 5 (Data)'!F9)/'Question 5 (Data)'!F9</f>
        <v>8.3010514665190927E-3</v>
      </c>
      <c r="G10" s="19">
        <f>('Question 5 (Data)'!G10-'Question 5 (Data)'!G9)/'Question 5 (Data)'!G9</f>
        <v>8.32266325224079E-3</v>
      </c>
      <c r="H10" s="19">
        <f>('Question 5 (Data)'!H10-'Question 5 (Data)'!H9)/'Question 5 (Data)'!H9</f>
        <v>-8.7098530212302364E-3</v>
      </c>
      <c r="I10" s="19">
        <f>('Question 5 (Data)'!I10-'Question 5 (Data)'!I9)/'Question 5 (Data)'!I9</f>
        <v>-4.2527339003644513E-3</v>
      </c>
      <c r="J10" s="19">
        <f>('Question 5 (Data)'!J10-'Question 5 (Data)'!J9)/'Question 5 (Data)'!J9</f>
        <v>5.662805662805652E-2</v>
      </c>
      <c r="K10" s="19">
        <f>('Question 5 (Data)'!K10-'Question 5 (Data)'!K9)/'Question 5 (Data)'!K9</f>
        <v>-1.2048192771084338E-2</v>
      </c>
      <c r="L10" s="19">
        <f>('Question 5 (Data)'!L10-'Question 5 (Data)'!L9)/'Question 5 (Data)'!L9</f>
        <v>-5.2128583840138519E-3</v>
      </c>
      <c r="M10" s="19">
        <f>('Question 5 (Data)'!M10-'Question 5 (Data)'!M9)/'Question 5 (Data)'!M9</f>
        <v>-1.1869436201779741E-3</v>
      </c>
      <c r="N10" s="19">
        <f>('Question 5 (Data)'!N10-'Question 5 (Data)'!N9)/'Question 5 (Data)'!N9</f>
        <v>5.6250000000000354E-3</v>
      </c>
      <c r="O10" s="19">
        <f>('Question 5 (Data)'!O10-'Question 5 (Data)'!O9)/'Question 5 (Data)'!O9</f>
        <v>-1.1600928074246928E-3</v>
      </c>
      <c r="P10" s="19">
        <f>('Question 5 (Data)'!P10-'Question 5 (Data)'!P9)/'Question 5 (Data)'!P9</f>
        <v>8.6100861008610446E-3</v>
      </c>
      <c r="Q10" s="19">
        <f>('Question 5 (Data)'!Q10-'Question 5 (Data)'!Q9)/'Question 5 (Data)'!Q9</f>
        <v>2.0964360587000905E-3</v>
      </c>
      <c r="R10" s="19">
        <f>('Question 5 (Data)'!R10-'Question 5 (Data)'!R9)/'Question 5 (Data)'!R9</f>
        <v>3.6991368680642589E-3</v>
      </c>
      <c r="S10" s="19">
        <f>('Question 5 (Data)'!S10-'Question 5 (Data)'!S9)/'Question 5 (Data)'!S9</f>
        <v>8.5638998682475813E-3</v>
      </c>
      <c r="T10" s="19">
        <f>('Question 5 (Data)'!T10-'Question 5 (Data)'!T9)/'Question 5 (Data)'!T9</f>
        <v>4.3559427504668144E-3</v>
      </c>
      <c r="U10" s="19">
        <f>('Question 5 (Data)'!U10-'Question 5 (Data)'!U9)/'Question 5 (Data)'!U9</f>
        <v>6.2305295950155761E-3</v>
      </c>
      <c r="V10" s="19">
        <f>('Question 5 (Data)'!V10-'Question 5 (Data)'!V9)/'Question 5 (Data)'!V9</f>
        <v>5.6320400500624356E-3</v>
      </c>
      <c r="W10" s="19">
        <f>('Question 5 (Data)'!W10-'Question 5 (Data)'!W9)/'Question 5 (Data)'!W9</f>
        <v>6.4599483204134363E-3</v>
      </c>
      <c r="X10" s="19">
        <f>('Question 5 (Data)'!X10-'Question 5 (Data)'!X9)/'Question 5 (Data)'!X9</f>
        <v>4.2092603728201361E-3</v>
      </c>
      <c r="Y10" s="19">
        <f>('Question 5 (Data)'!Y10-'Question 5 (Data)'!Y9)/'Question 5 (Data)'!Y9</f>
        <v>1.5925680159256841E-2</v>
      </c>
      <c r="Z10" s="19">
        <f>('Question 5 (Data)'!Z10-'Question 5 (Data)'!Z9)/'Question 5 (Data)'!Z9</f>
        <v>2.5823111684958404E-3</v>
      </c>
      <c r="AA10" s="19">
        <f>('Question 5 (Data)'!AA10-'Question 5 (Data)'!AA9)/'Question 5 (Data)'!AA9</f>
        <v>9.2764378478664197E-3</v>
      </c>
      <c r="AB10" s="19">
        <f>('Question 5 (Data)'!AB10-'Question 5 (Data)'!AB9)/'Question 5 (Data)'!AB9</f>
        <v>8.1863979848865419E-3</v>
      </c>
      <c r="AC10" s="19">
        <f>('Question 5 (Data)'!AC10-'Question 5 (Data)'!AC9)/'Question 5 (Data)'!AC9</f>
        <v>8.883248730964504E-3</v>
      </c>
      <c r="AD10" s="19">
        <f>('Question 5 (Data)'!AD10-'Question 5 (Data)'!AD9)/'Question 5 (Data)'!AD9</f>
        <v>7.439553626782322E-3</v>
      </c>
    </row>
    <row r="11" spans="1:30" ht="14.4" x14ac:dyDescent="0.3">
      <c r="A11" s="2">
        <v>2021</v>
      </c>
      <c r="B11" s="2" t="s">
        <v>41</v>
      </c>
      <c r="C11" s="19">
        <f>('Question 5 (Data)'!C11-'Question 5 (Data)'!C10)/'Question 5 (Data)'!C10</f>
        <v>-5.0856676638564163E-2</v>
      </c>
      <c r="D11" s="19">
        <f>('Question 5 (Data)'!D11-'Question 5 (Data)'!D10)/'Question 5 (Data)'!D10</f>
        <v>1.3661202185791573E-3</v>
      </c>
      <c r="E11" s="19">
        <f>('Question 5 (Data)'!E11-'Question 5 (Data)'!E10)/'Question 5 (Data)'!E10</f>
        <v>-1.3539651837524232E-2</v>
      </c>
      <c r="F11" s="19">
        <f>('Question 5 (Data)'!F11-'Question 5 (Data)'!F10)/'Question 5 (Data)'!F10</f>
        <v>-5.1591657519209536E-2</v>
      </c>
      <c r="G11" s="19">
        <f>('Question 5 (Data)'!G11-'Question 5 (Data)'!G10)/'Question 5 (Data)'!G10</f>
        <v>5.7142857142857507E-3</v>
      </c>
      <c r="H11" s="19">
        <f>('Question 5 (Data)'!H11-'Question 5 (Data)'!H10)/'Question 5 (Data)'!H10</f>
        <v>3.2399780340472299E-2</v>
      </c>
      <c r="I11" s="19">
        <f>('Question 5 (Data)'!I11-'Question 5 (Data)'!I10)/'Question 5 (Data)'!I10</f>
        <v>-4.3319097010372141E-2</v>
      </c>
      <c r="J11" s="19">
        <f>('Question 5 (Data)'!J11-'Question 5 (Data)'!J10)/'Question 5 (Data)'!J10</f>
        <v>-1.2180267965895251E-2</v>
      </c>
      <c r="K11" s="19">
        <f>('Question 5 (Data)'!K11-'Question 5 (Data)'!K10)/'Question 5 (Data)'!K10</f>
        <v>6.0975609756094091E-4</v>
      </c>
      <c r="L11" s="19">
        <f>('Question 5 (Data)'!L11-'Question 5 (Data)'!L10)/'Question 5 (Data)'!L10</f>
        <v>4.5414847161572076E-2</v>
      </c>
      <c r="M11" s="19">
        <f>('Question 5 (Data)'!M11-'Question 5 (Data)'!M10)/'Question 5 (Data)'!M10</f>
        <v>2.9708853238265003E-3</v>
      </c>
      <c r="N11" s="19">
        <f>('Question 5 (Data)'!N11-'Question 5 (Data)'!N10)/'Question 5 (Data)'!N10</f>
        <v>1.1187072715972548E-2</v>
      </c>
      <c r="O11" s="19">
        <f>('Question 5 (Data)'!O11-'Question 5 (Data)'!O10)/'Question 5 (Data)'!O10</f>
        <v>9.872241579558752E-3</v>
      </c>
      <c r="P11" s="19">
        <f>('Question 5 (Data)'!P11-'Question 5 (Data)'!P10)/'Question 5 (Data)'!P10</f>
        <v>0</v>
      </c>
      <c r="Q11" s="19">
        <f>('Question 5 (Data)'!Q11-'Question 5 (Data)'!Q10)/'Question 5 (Data)'!Q10</f>
        <v>4.7071129707113267E-3</v>
      </c>
      <c r="R11" s="19">
        <f>('Question 5 (Data)'!R11-'Question 5 (Data)'!R10)/'Question 5 (Data)'!R10</f>
        <v>1.0442260442260373E-2</v>
      </c>
      <c r="S11" s="19">
        <f>('Question 5 (Data)'!S11-'Question 5 (Data)'!S10)/'Question 5 (Data)'!S10</f>
        <v>1.4369693011103966E-2</v>
      </c>
      <c r="T11" s="19">
        <f>('Question 5 (Data)'!T11-'Question 5 (Data)'!T10)/'Question 5 (Data)'!T10</f>
        <v>1.1152416356877217E-2</v>
      </c>
      <c r="U11" s="19">
        <f>('Question 5 (Data)'!U11-'Question 5 (Data)'!U10)/'Question 5 (Data)'!U10</f>
        <v>3.7151702786377356E-3</v>
      </c>
      <c r="V11" s="19">
        <f>('Question 5 (Data)'!V11-'Question 5 (Data)'!V10)/'Question 5 (Data)'!V10</f>
        <v>1.1823273179838244E-2</v>
      </c>
      <c r="W11" s="19">
        <f>('Question 5 (Data)'!W11-'Question 5 (Data)'!W10)/'Question 5 (Data)'!W10</f>
        <v>1.0911424903722648E-2</v>
      </c>
      <c r="X11" s="19">
        <f>('Question 5 (Data)'!X11-'Question 5 (Data)'!X10)/'Question 5 (Data)'!X10</f>
        <v>8.3832335329341659E-3</v>
      </c>
      <c r="Y11" s="19">
        <f>('Question 5 (Data)'!Y11-'Question 5 (Data)'!Y10)/'Question 5 (Data)'!Y10</f>
        <v>5.8785107772697954E-3</v>
      </c>
      <c r="Z11" s="19">
        <f>('Question 5 (Data)'!Z11-'Question 5 (Data)'!Z10)/'Question 5 (Data)'!Z10</f>
        <v>1.4810045074050114E-2</v>
      </c>
      <c r="AA11" s="19">
        <f>('Question 5 (Data)'!AA11-'Question 5 (Data)'!AA10)/'Question 5 (Data)'!AA10</f>
        <v>3.6764705882354337E-3</v>
      </c>
      <c r="AB11" s="19">
        <f>('Question 5 (Data)'!AB11-'Question 5 (Data)'!AB10)/'Question 5 (Data)'!AB10</f>
        <v>-6.2460961898809693E-4</v>
      </c>
      <c r="AC11" s="19">
        <f>('Question 5 (Data)'!AC11-'Question 5 (Data)'!AC10)/'Question 5 (Data)'!AC10</f>
        <v>6.2893081761006293E-3</v>
      </c>
      <c r="AD11" s="19">
        <f>('Question 5 (Data)'!AD11-'Question 5 (Data)'!AD10)/'Question 5 (Data)'!AD10</f>
        <v>4.3076923076922381E-3</v>
      </c>
    </row>
    <row r="12" spans="1:30" ht="14.4" x14ac:dyDescent="0.3">
      <c r="A12" s="2">
        <v>2021</v>
      </c>
      <c r="B12" s="2" t="s">
        <v>42</v>
      </c>
      <c r="C12" s="19">
        <f>('Question 5 (Data)'!C12-'Question 5 (Data)'!C11)/'Question 5 (Data)'!C11</f>
        <v>4.7707736389684792E-2</v>
      </c>
      <c r="D12" s="19">
        <f>('Question 5 (Data)'!D12-'Question 5 (Data)'!D11)/'Question 5 (Data)'!D11</f>
        <v>0</v>
      </c>
      <c r="E12" s="19">
        <f>('Question 5 (Data)'!E12-'Question 5 (Data)'!E11)/'Question 5 (Data)'!E11</f>
        <v>0</v>
      </c>
      <c r="F12" s="19">
        <f>('Question 5 (Data)'!F12-'Question 5 (Data)'!F11)/'Question 5 (Data)'!F11</f>
        <v>0</v>
      </c>
      <c r="G12" s="19">
        <f>('Question 5 (Data)'!G12-'Question 5 (Data)'!G11)/'Question 5 (Data)'!G11</f>
        <v>0</v>
      </c>
      <c r="H12" s="19">
        <f>('Question 5 (Data)'!H12-'Question 5 (Data)'!H11)/'Question 5 (Data)'!H11</f>
        <v>0</v>
      </c>
      <c r="I12" s="19">
        <f>('Question 5 (Data)'!I12-'Question 5 (Data)'!I11)/'Question 5 (Data)'!I11</f>
        <v>-6.3775510204096134E-4</v>
      </c>
      <c r="J12" s="19">
        <f>('Question 5 (Data)'!J12-'Question 5 (Data)'!J11)/'Question 5 (Data)'!J11</f>
        <v>6.1652281134415992E-4</v>
      </c>
      <c r="K12" s="19">
        <f>('Question 5 (Data)'!K12-'Question 5 (Data)'!K11)/'Question 5 (Data)'!K11</f>
        <v>0</v>
      </c>
      <c r="L12" s="19">
        <f>('Question 5 (Data)'!L12-'Question 5 (Data)'!L11)/'Question 5 (Data)'!L11</f>
        <v>0</v>
      </c>
      <c r="M12" s="19">
        <f>('Question 5 (Data)'!M12-'Question 5 (Data)'!M11)/'Question 5 (Data)'!M11</f>
        <v>0</v>
      </c>
      <c r="N12" s="19">
        <f>('Question 5 (Data)'!N12-'Question 5 (Data)'!N11)/'Question 5 (Data)'!N11</f>
        <v>0</v>
      </c>
      <c r="O12" s="19">
        <f>('Question 5 (Data)'!O12-'Question 5 (Data)'!O11)/'Question 5 (Data)'!O11</f>
        <v>0</v>
      </c>
      <c r="P12" s="19">
        <f>('Question 5 (Data)'!P12-'Question 5 (Data)'!P11)/'Question 5 (Data)'!P11</f>
        <v>0</v>
      </c>
      <c r="Q12" s="19">
        <f>('Question 5 (Data)'!Q12-'Question 5 (Data)'!Q11)/'Question 5 (Data)'!Q11</f>
        <v>0</v>
      </c>
      <c r="R12" s="19">
        <f>('Question 5 (Data)'!R12-'Question 5 (Data)'!R11)/'Question 5 (Data)'!R11</f>
        <v>6.0790273556227549E-4</v>
      </c>
      <c r="S12" s="19">
        <f>('Question 5 (Data)'!S12-'Question 5 (Data)'!S11)/'Question 5 (Data)'!S11</f>
        <v>0</v>
      </c>
      <c r="T12" s="19">
        <f>('Question 5 (Data)'!T12-'Question 5 (Data)'!T11)/'Question 5 (Data)'!T11</f>
        <v>6.12745098039355E-4</v>
      </c>
      <c r="U12" s="19">
        <f>('Question 5 (Data)'!U12-'Question 5 (Data)'!U11)/'Question 5 (Data)'!U11</f>
        <v>0</v>
      </c>
      <c r="V12" s="19">
        <f>('Question 5 (Data)'!V12-'Question 5 (Data)'!V11)/'Question 5 (Data)'!V11</f>
        <v>0</v>
      </c>
      <c r="W12" s="19">
        <f>('Question 5 (Data)'!W12-'Question 5 (Data)'!W11)/'Question 5 (Data)'!W11</f>
        <v>0</v>
      </c>
      <c r="X12" s="19">
        <f>('Question 5 (Data)'!X12-'Question 5 (Data)'!X11)/'Question 5 (Data)'!X11</f>
        <v>0</v>
      </c>
      <c r="Y12" s="19">
        <f>('Question 5 (Data)'!Y12-'Question 5 (Data)'!Y11)/'Question 5 (Data)'!Y11</f>
        <v>0</v>
      </c>
      <c r="Z12" s="19">
        <f>('Question 5 (Data)'!Z12-'Question 5 (Data)'!Z11)/'Question 5 (Data)'!Z11</f>
        <v>6.3451776649742588E-4</v>
      </c>
      <c r="AA12" s="19">
        <f>('Question 5 (Data)'!AA12-'Question 5 (Data)'!AA11)/'Question 5 (Data)'!AA11</f>
        <v>-6.1050061050074928E-4</v>
      </c>
      <c r="AB12" s="19">
        <f>('Question 5 (Data)'!AB12-'Question 5 (Data)'!AB11)/'Question 5 (Data)'!AB11</f>
        <v>0</v>
      </c>
      <c r="AC12" s="19">
        <f>('Question 5 (Data)'!AC12-'Question 5 (Data)'!AC11)/'Question 5 (Data)'!AC11</f>
        <v>0</v>
      </c>
      <c r="AD12" s="19">
        <f>('Question 5 (Data)'!AD12-'Question 5 (Data)'!AD11)/'Question 5 (Data)'!AD11</f>
        <v>0</v>
      </c>
    </row>
    <row r="13" spans="1:30" ht="14.4" x14ac:dyDescent="0.3">
      <c r="A13" s="2">
        <v>2021</v>
      </c>
      <c r="B13" s="2" t="s">
        <v>43</v>
      </c>
      <c r="C13" s="19">
        <f>('Question 5 (Data)'!C13-'Question 5 (Data)'!C12)/'Question 5 (Data)'!C12</f>
        <v>0.12279502256255989</v>
      </c>
      <c r="D13" s="19">
        <f>('Question 5 (Data)'!D13-'Question 5 (Data)'!D12)/'Question 5 (Data)'!D12</f>
        <v>5.4570259208732022E-3</v>
      </c>
      <c r="E13" s="19">
        <f>('Question 5 (Data)'!E13-'Question 5 (Data)'!E12)/'Question 5 (Data)'!E12</f>
        <v>2.9411764705882075E-3</v>
      </c>
      <c r="F13" s="19">
        <f>('Question 5 (Data)'!F13-'Question 5 (Data)'!F12)/'Question 5 (Data)'!F12</f>
        <v>-9.2592592592593906E-3</v>
      </c>
      <c r="G13" s="19">
        <f>('Question 5 (Data)'!G13-'Question 5 (Data)'!G12)/'Question 5 (Data)'!G12</f>
        <v>1.8939393939392862E-3</v>
      </c>
      <c r="H13" s="19">
        <f>('Question 5 (Data)'!H13-'Question 5 (Data)'!H12)/'Question 5 (Data)'!H12</f>
        <v>1.3829787234042523E-2</v>
      </c>
      <c r="I13" s="19">
        <f>('Question 5 (Data)'!I13-'Question 5 (Data)'!I12)/'Question 5 (Data)'!I12</f>
        <v>-6.3816209317166563E-3</v>
      </c>
      <c r="J13" s="19">
        <f>('Question 5 (Data)'!J13-'Question 5 (Data)'!J12)/'Question 5 (Data)'!J12</f>
        <v>0.14171287738755389</v>
      </c>
      <c r="K13" s="19">
        <f>('Question 5 (Data)'!K13-'Question 5 (Data)'!K12)/'Question 5 (Data)'!K12</f>
        <v>6.7032297379646215E-3</v>
      </c>
      <c r="L13" s="19">
        <f>('Question 5 (Data)'!L13-'Question 5 (Data)'!L12)/'Question 5 (Data)'!L12</f>
        <v>1.8379281537176297E-2</v>
      </c>
      <c r="M13" s="19">
        <f>('Question 5 (Data)'!M13-'Question 5 (Data)'!M12)/'Question 5 (Data)'!M12</f>
        <v>2.9620853080568718E-3</v>
      </c>
      <c r="N13" s="19">
        <f>('Question 5 (Data)'!N13-'Question 5 (Data)'!N12)/'Question 5 (Data)'!N12</f>
        <v>3.0731407498463433E-3</v>
      </c>
      <c r="O13" s="19">
        <f>('Question 5 (Data)'!O13-'Question 5 (Data)'!O12)/'Question 5 (Data)'!O12</f>
        <v>4.6003450258768428E-3</v>
      </c>
      <c r="P13" s="19">
        <f>('Question 5 (Data)'!P13-'Question 5 (Data)'!P12)/'Question 5 (Data)'!P12</f>
        <v>2.2560975609756027E-2</v>
      </c>
      <c r="Q13" s="19">
        <f>('Question 5 (Data)'!Q13-'Question 5 (Data)'!Q12)/'Question 5 (Data)'!Q12</f>
        <v>3.1233732431025212E-3</v>
      </c>
      <c r="R13" s="19">
        <f>('Question 5 (Data)'!R13-'Question 5 (Data)'!R12)/'Question 5 (Data)'!R12</f>
        <v>6.6828675577156405E-3</v>
      </c>
      <c r="S13" s="19">
        <f>('Question 5 (Data)'!S13-'Question 5 (Data)'!S12)/'Question 5 (Data)'!S12</f>
        <v>6.4391500321957498E-3</v>
      </c>
      <c r="T13" s="19">
        <f>('Question 5 (Data)'!T13-'Question 5 (Data)'!T12)/'Question 5 (Data)'!T12</f>
        <v>6.1236987140232697E-3</v>
      </c>
      <c r="U13" s="19">
        <f>('Question 5 (Data)'!U13-'Question 5 (Data)'!U12)/'Question 5 (Data)'!U12</f>
        <v>9.2535471930906849E-3</v>
      </c>
      <c r="V13" s="19">
        <f>('Question 5 (Data)'!V13-'Question 5 (Data)'!V12)/'Question 5 (Data)'!V12</f>
        <v>9.8400984009839754E-3</v>
      </c>
      <c r="W13" s="19">
        <f>('Question 5 (Data)'!W13-'Question 5 (Data)'!W12)/'Question 5 (Data)'!W12</f>
        <v>5.7142857142857507E-3</v>
      </c>
      <c r="X13" s="19">
        <f>('Question 5 (Data)'!X13-'Question 5 (Data)'!X12)/'Question 5 (Data)'!X12</f>
        <v>4.1567695961994573E-3</v>
      </c>
      <c r="Y13" s="19">
        <f>('Question 5 (Data)'!Y13-'Question 5 (Data)'!Y12)/'Question 5 (Data)'!Y12</f>
        <v>1.1038961038960965E-2</v>
      </c>
      <c r="Z13" s="19">
        <f>('Question 5 (Data)'!Z13-'Question 5 (Data)'!Z12)/'Question 5 (Data)'!Z12</f>
        <v>5.7070386810399859E-3</v>
      </c>
      <c r="AA13" s="19">
        <f>('Question 5 (Data)'!AA13-'Question 5 (Data)'!AA12)/'Question 5 (Data)'!AA12</f>
        <v>1.2217470983507458E-3</v>
      </c>
      <c r="AB13" s="19">
        <f>('Question 5 (Data)'!AB13-'Question 5 (Data)'!AB12)/'Question 5 (Data)'!AB12</f>
        <v>5.0000000000000712E-3</v>
      </c>
      <c r="AC13" s="19">
        <f>('Question 5 (Data)'!AC13-'Question 5 (Data)'!AC12)/'Question 5 (Data)'!AC12</f>
        <v>6.2500000000000003E-3</v>
      </c>
      <c r="AD13" s="19">
        <f>('Question 5 (Data)'!AD13-'Question 5 (Data)'!AD12)/'Question 5 (Data)'!AD12</f>
        <v>1.4093137254902032E-2</v>
      </c>
    </row>
    <row r="14" spans="1:30" ht="14.4" x14ac:dyDescent="0.3">
      <c r="A14" s="2">
        <v>2021</v>
      </c>
      <c r="B14" s="2" t="s">
        <v>44</v>
      </c>
      <c r="C14" s="19">
        <f>('Question 5 (Data)'!C14-'Question 5 (Data)'!C13)/'Question 5 (Data)'!C13</f>
        <v>-1.7902813299232722E-2</v>
      </c>
      <c r="D14" s="19">
        <f>('Question 5 (Data)'!D14-'Question 5 (Data)'!D13)/'Question 5 (Data)'!D13</f>
        <v>5.4274084124829236E-3</v>
      </c>
      <c r="E14" s="19">
        <f>('Question 5 (Data)'!E14-'Question 5 (Data)'!E13)/'Question 5 (Data)'!E13</f>
        <v>-1.466275659824047E-2</v>
      </c>
      <c r="F14" s="19">
        <f>('Question 5 (Data)'!F14-'Question 5 (Data)'!F13)/'Question 5 (Data)'!F13</f>
        <v>1.0514018691588852E-2</v>
      </c>
      <c r="G14" s="19">
        <f>('Question 5 (Data)'!G14-'Question 5 (Data)'!G13)/'Question 5 (Data)'!G13</f>
        <v>3.7807183364840756E-3</v>
      </c>
      <c r="H14" s="19">
        <f>('Question 5 (Data)'!H14-'Question 5 (Data)'!H13)/'Question 5 (Data)'!H13</f>
        <v>-2.6232948583420779E-3</v>
      </c>
      <c r="I14" s="19">
        <f>('Question 5 (Data)'!I14-'Question 5 (Data)'!I13)/'Question 5 (Data)'!I13</f>
        <v>5.1380860629416276E-3</v>
      </c>
      <c r="J14" s="19">
        <f>('Question 5 (Data)'!J14-'Question 5 (Data)'!J13)/'Question 5 (Data)'!J13</f>
        <v>7.5013491635186058E-2</v>
      </c>
      <c r="K14" s="19">
        <f>('Question 5 (Data)'!K14-'Question 5 (Data)'!K13)/'Question 5 (Data)'!K13</f>
        <v>6.0532687651345491E-4</v>
      </c>
      <c r="L14" s="19">
        <f>('Question 5 (Data)'!L14-'Question 5 (Data)'!L13)/'Question 5 (Data)'!L13</f>
        <v>4.1017227235438884E-3</v>
      </c>
      <c r="M14" s="19">
        <f>('Question 5 (Data)'!M14-'Question 5 (Data)'!M13)/'Question 5 (Data)'!M13</f>
        <v>1.772002362669716E-3</v>
      </c>
      <c r="N14" s="19">
        <f>('Question 5 (Data)'!N14-'Question 5 (Data)'!N13)/'Question 5 (Data)'!N13</f>
        <v>3.0637254901960788E-3</v>
      </c>
      <c r="O14" s="19">
        <f>('Question 5 (Data)'!O14-'Question 5 (Data)'!O13)/'Question 5 (Data)'!O13</f>
        <v>4.5792787635947994E-3</v>
      </c>
      <c r="P14" s="19">
        <f>('Question 5 (Data)'!P14-'Question 5 (Data)'!P13)/'Question 5 (Data)'!P13</f>
        <v>1.1926058437686345E-2</v>
      </c>
      <c r="Q14" s="19">
        <f>('Question 5 (Data)'!Q14-'Question 5 (Data)'!Q13)/'Question 5 (Data)'!Q13</f>
        <v>1.0378827192528131E-3</v>
      </c>
      <c r="R14" s="19">
        <f>('Question 5 (Data)'!R14-'Question 5 (Data)'!R13)/'Question 5 (Data)'!R13</f>
        <v>9.0525045262522634E-3</v>
      </c>
      <c r="S14" s="19">
        <f>('Question 5 (Data)'!S14-'Question 5 (Data)'!S13)/'Question 5 (Data)'!S13</f>
        <v>7.03774792066535E-3</v>
      </c>
      <c r="T14" s="19">
        <f>('Question 5 (Data)'!T14-'Question 5 (Data)'!T13)/'Question 5 (Data)'!T13</f>
        <v>9.1296409007912346E-3</v>
      </c>
      <c r="U14" s="19">
        <f>('Question 5 (Data)'!U14-'Question 5 (Data)'!U13)/'Question 5 (Data)'!U13</f>
        <v>3.6674816625916523E-3</v>
      </c>
      <c r="V14" s="19">
        <f>('Question 5 (Data)'!V14-'Question 5 (Data)'!V13)/'Question 5 (Data)'!V13</f>
        <v>-1.8270401948841837E-3</v>
      </c>
      <c r="W14" s="19">
        <f>('Question 5 (Data)'!W14-'Question 5 (Data)'!W13)/'Question 5 (Data)'!W13</f>
        <v>5.6818181818182175E-3</v>
      </c>
      <c r="X14" s="19">
        <f>('Question 5 (Data)'!X14-'Question 5 (Data)'!X13)/'Question 5 (Data)'!X13</f>
        <v>4.730928444707341E-3</v>
      </c>
      <c r="Y14" s="19">
        <f>('Question 5 (Data)'!Y14-'Question 5 (Data)'!Y13)/'Question 5 (Data)'!Y13</f>
        <v>-5.7803468208091026E-3</v>
      </c>
      <c r="Z14" s="19">
        <f>('Question 5 (Data)'!Z14-'Question 5 (Data)'!Z13)/'Question 5 (Data)'!Z13</f>
        <v>7.5662042875158705E-3</v>
      </c>
      <c r="AA14" s="19">
        <f>('Question 5 (Data)'!AA14-'Question 5 (Data)'!AA13)/'Question 5 (Data)'!AA13</f>
        <v>2.4405125076266362E-3</v>
      </c>
      <c r="AB14" s="19">
        <f>('Question 5 (Data)'!AB14-'Question 5 (Data)'!AB13)/'Question 5 (Data)'!AB13</f>
        <v>8.7064676616914003E-3</v>
      </c>
      <c r="AC14" s="19">
        <f>('Question 5 (Data)'!AC14-'Question 5 (Data)'!AC13)/'Question 5 (Data)'!AC13</f>
        <v>2.4844720496894762E-3</v>
      </c>
      <c r="AD14" s="19">
        <f>('Question 5 (Data)'!AD14-'Question 5 (Data)'!AD13)/'Question 5 (Data)'!AD13</f>
        <v>7.2507552870089949E-3</v>
      </c>
    </row>
    <row r="15" spans="1:30" ht="14.4" x14ac:dyDescent="0.3">
      <c r="A15" s="2">
        <v>2021</v>
      </c>
      <c r="B15" s="2" t="s">
        <v>45</v>
      </c>
      <c r="C15" s="19">
        <f>('Question 5 (Data)'!C15-'Question 5 (Data)'!C14)/'Question 5 (Data)'!C14</f>
        <v>-9.1021825396825434E-2</v>
      </c>
      <c r="D15" s="19">
        <f>('Question 5 (Data)'!D15-'Question 5 (Data)'!D14)/'Question 5 (Data)'!D14</f>
        <v>3.3738191632928477E-3</v>
      </c>
      <c r="E15" s="19">
        <f>('Question 5 (Data)'!E15-'Question 5 (Data)'!E14)/'Question 5 (Data)'!E14</f>
        <v>-1.3888888888888805E-2</v>
      </c>
      <c r="F15" s="19">
        <f>('Question 5 (Data)'!F15-'Question 5 (Data)'!F14)/'Question 5 (Data)'!F14</f>
        <v>2.8323699421965352E-2</v>
      </c>
      <c r="G15" s="19">
        <f>('Question 5 (Data)'!G15-'Question 5 (Data)'!G14)/'Question 5 (Data)'!G14</f>
        <v>3.766478342749493E-3</v>
      </c>
      <c r="H15" s="19">
        <f>('Question 5 (Data)'!H15-'Question 5 (Data)'!H14)/'Question 5 (Data)'!H14</f>
        <v>-1.3150973172014729E-2</v>
      </c>
      <c r="I15" s="19">
        <f>('Question 5 (Data)'!I15-'Question 5 (Data)'!I14)/'Question 5 (Data)'!I14</f>
        <v>-1.0223642172523926E-2</v>
      </c>
      <c r="J15" s="19">
        <f>('Question 5 (Data)'!J15-'Question 5 (Data)'!J14)/'Question 5 (Data)'!J14</f>
        <v>-5.4718875502007921E-2</v>
      </c>
      <c r="K15" s="19">
        <f>('Question 5 (Data)'!K15-'Question 5 (Data)'!K14)/'Question 5 (Data)'!K14</f>
        <v>-5.4446460980036634E-3</v>
      </c>
      <c r="L15" s="19">
        <f>('Question 5 (Data)'!L15-'Question 5 (Data)'!L14)/'Question 5 (Data)'!L14</f>
        <v>-1.1437908496732072E-2</v>
      </c>
      <c r="M15" s="19">
        <f>('Question 5 (Data)'!M15-'Question 5 (Data)'!M14)/'Question 5 (Data)'!M14</f>
        <v>5.3066037735849392E-3</v>
      </c>
      <c r="N15" s="19">
        <f>('Question 5 (Data)'!N15-'Question 5 (Data)'!N14)/'Question 5 (Data)'!N14</f>
        <v>3.0543677458766036E-3</v>
      </c>
      <c r="O15" s="19">
        <f>('Question 5 (Data)'!O15-'Question 5 (Data)'!O14)/'Question 5 (Data)'!O14</f>
        <v>5.6980056980056983E-3</v>
      </c>
      <c r="P15" s="19">
        <f>('Question 5 (Data)'!P15-'Question 5 (Data)'!P14)/'Question 5 (Data)'!P14</f>
        <v>-8.8391278727165592E-3</v>
      </c>
      <c r="Q15" s="19">
        <f>('Question 5 (Data)'!Q15-'Question 5 (Data)'!Q14)/'Question 5 (Data)'!Q14</f>
        <v>-2.592016588906169E-3</v>
      </c>
      <c r="R15" s="19">
        <f>('Question 5 (Data)'!R15-'Question 5 (Data)'!R14)/'Question 5 (Data)'!R14</f>
        <v>7.7751196172249487E-3</v>
      </c>
      <c r="S15" s="19">
        <f>('Question 5 (Data)'!S15-'Question 5 (Data)'!S14)/'Question 5 (Data)'!S14</f>
        <v>8.2592121982209849E-3</v>
      </c>
      <c r="T15" s="19">
        <f>('Question 5 (Data)'!T15-'Question 5 (Data)'!T14)/'Question 5 (Data)'!T14</f>
        <v>7.2376357056694119E-3</v>
      </c>
      <c r="U15" s="19">
        <f>('Question 5 (Data)'!U15-'Question 5 (Data)'!U14)/'Question 5 (Data)'!U14</f>
        <v>-4.8721071863579964E-3</v>
      </c>
      <c r="V15" s="19">
        <f>('Question 5 (Data)'!V15-'Question 5 (Data)'!V14)/'Question 5 (Data)'!V14</f>
        <v>1.2202562538132314E-3</v>
      </c>
      <c r="W15" s="19">
        <f>('Question 5 (Data)'!W15-'Question 5 (Data)'!W14)/'Question 5 (Data)'!W14</f>
        <v>5.6497175141241507E-3</v>
      </c>
      <c r="X15" s="19">
        <f>('Question 5 (Data)'!X15-'Question 5 (Data)'!X14)/'Question 5 (Data)'!X14</f>
        <v>4.1200706297821578E-3</v>
      </c>
      <c r="Y15" s="19">
        <f>('Question 5 (Data)'!Y15-'Question 5 (Data)'!Y14)/'Question 5 (Data)'!Y14</f>
        <v>5.8139534883719455E-3</v>
      </c>
      <c r="Z15" s="19">
        <f>('Question 5 (Data)'!Z15-'Question 5 (Data)'!Z14)/'Question 5 (Data)'!Z14</f>
        <v>5.0062578222777399E-3</v>
      </c>
      <c r="AA15" s="19">
        <f>('Question 5 (Data)'!AA15-'Question 5 (Data)'!AA14)/'Question 5 (Data)'!AA14</f>
        <v>6.0864272671938102E-4</v>
      </c>
      <c r="AB15" s="19">
        <f>('Question 5 (Data)'!AB15-'Question 5 (Data)'!AB14)/'Question 5 (Data)'!AB14</f>
        <v>2.4660912453761141E-3</v>
      </c>
      <c r="AC15" s="19">
        <f>('Question 5 (Data)'!AC15-'Question 5 (Data)'!AC14)/'Question 5 (Data)'!AC14</f>
        <v>3.7174721189590725E-3</v>
      </c>
      <c r="AD15" s="19">
        <f>('Question 5 (Data)'!AD15-'Question 5 (Data)'!AD14)/'Question 5 (Data)'!AD14</f>
        <v>-2.999400119976005E-3</v>
      </c>
    </row>
    <row r="16" spans="1:30" ht="14.4" x14ac:dyDescent="0.3">
      <c r="A16" s="2">
        <v>2022</v>
      </c>
      <c r="B16" s="2" t="s">
        <v>31</v>
      </c>
      <c r="C16" s="19">
        <f>('Question 5 (Data)'!C16-'Question 5 (Data)'!C15)/'Question 5 (Data)'!C15</f>
        <v>0.15511596180081863</v>
      </c>
      <c r="D16" s="19">
        <f>('Question 5 (Data)'!D16-'Question 5 (Data)'!D15)/'Question 5 (Data)'!D15</f>
        <v>5.3799596503026998E-3</v>
      </c>
      <c r="E16" s="19">
        <f>('Question 5 (Data)'!E16-'Question 5 (Data)'!E15)/'Question 5 (Data)'!E15</f>
        <v>-5.0301810865202579E-4</v>
      </c>
      <c r="F16" s="19">
        <f>('Question 5 (Data)'!F16-'Question 5 (Data)'!F15)/'Question 5 (Data)'!F15</f>
        <v>5.0590219224283623E-3</v>
      </c>
      <c r="G16" s="19">
        <f>('Question 5 (Data)'!G16-'Question 5 (Data)'!G15)/'Question 5 (Data)'!G15</f>
        <v>3.7523452157598143E-3</v>
      </c>
      <c r="H16" s="19">
        <f>('Question 5 (Data)'!H16-'Question 5 (Data)'!H15)/'Question 5 (Data)'!H15</f>
        <v>-1.5458422174840116E-2</v>
      </c>
      <c r="I16" s="19">
        <f>('Question 5 (Data)'!I16-'Question 5 (Data)'!I15)/'Question 5 (Data)'!I15</f>
        <v>-7.7469335054875209E-3</v>
      </c>
      <c r="J16" s="19">
        <f>('Question 5 (Data)'!J16-'Question 5 (Data)'!J15)/'Question 5 (Data)'!J15</f>
        <v>-7.4349442379182146E-2</v>
      </c>
      <c r="K16" s="19">
        <f>('Question 5 (Data)'!K16-'Question 5 (Data)'!K15)/'Question 5 (Data)'!K15</f>
        <v>-3.0413625304136251E-3</v>
      </c>
      <c r="L16" s="19">
        <f>('Question 5 (Data)'!L16-'Question 5 (Data)'!L15)/'Question 5 (Data)'!L15</f>
        <v>-8.2644628099173556E-3</v>
      </c>
      <c r="M16" s="19">
        <f>('Question 5 (Data)'!M16-'Question 5 (Data)'!M15)/'Question 5 (Data)'!M15</f>
        <v>9.3841642228738673E-3</v>
      </c>
      <c r="N16" s="19">
        <f>('Question 5 (Data)'!N16-'Question 5 (Data)'!N15)/'Question 5 (Data)'!N15</f>
        <v>6.0901339829490101E-4</v>
      </c>
      <c r="O16" s="19">
        <f>('Question 5 (Data)'!O16-'Question 5 (Data)'!O15)/'Question 5 (Data)'!O15</f>
        <v>4.5325779036827843E-3</v>
      </c>
      <c r="P16" s="19">
        <f>('Question 5 (Data)'!P16-'Question 5 (Data)'!P15)/'Question 5 (Data)'!P15</f>
        <v>-1.070154577883462E-2</v>
      </c>
      <c r="Q16" s="19">
        <f>('Question 5 (Data)'!Q16-'Question 5 (Data)'!Q15)/'Question 5 (Data)'!Q15</f>
        <v>-1.039501039501128E-3</v>
      </c>
      <c r="R16" s="19">
        <f>('Question 5 (Data)'!R16-'Question 5 (Data)'!R15)/'Question 5 (Data)'!R15</f>
        <v>8.3086053412463248E-3</v>
      </c>
      <c r="S16" s="19">
        <f>('Question 5 (Data)'!S16-'Question 5 (Data)'!S15)/'Question 5 (Data)'!S15</f>
        <v>1.2602394454946441E-2</v>
      </c>
      <c r="T16" s="19">
        <f>('Question 5 (Data)'!T16-'Question 5 (Data)'!T15)/'Question 5 (Data)'!T15</f>
        <v>8.9820359281437123E-3</v>
      </c>
      <c r="U16" s="19">
        <f>('Question 5 (Data)'!U16-'Question 5 (Data)'!U15)/'Question 5 (Data)'!U15</f>
        <v>6.7319461444308093E-3</v>
      </c>
      <c r="V16" s="19">
        <f>('Question 5 (Data)'!V16-'Question 5 (Data)'!V15)/'Question 5 (Data)'!V15</f>
        <v>6.0938452163311586E-4</v>
      </c>
      <c r="W16" s="19">
        <f>('Question 5 (Data)'!W16-'Question 5 (Data)'!W15)/'Question 5 (Data)'!W15</f>
        <v>5.6179775280899239E-3</v>
      </c>
      <c r="X16" s="19">
        <f>('Question 5 (Data)'!X16-'Question 5 (Data)'!X15)/'Question 5 (Data)'!X15</f>
        <v>4.6893317702228097E-3</v>
      </c>
      <c r="Y16" s="19">
        <f>('Question 5 (Data)'!Y16-'Question 5 (Data)'!Y15)/'Question 5 (Data)'!Y15</f>
        <v>5.1380860629416276E-3</v>
      </c>
      <c r="Z16" s="19">
        <f>('Question 5 (Data)'!Z16-'Question 5 (Data)'!Z15)/'Question 5 (Data)'!Z15</f>
        <v>3.735990037359865E-3</v>
      </c>
      <c r="AA16" s="19">
        <f>('Question 5 (Data)'!AA16-'Question 5 (Data)'!AA15)/'Question 5 (Data)'!AA15</f>
        <v>1.8248175182480715E-3</v>
      </c>
      <c r="AB16" s="19">
        <f>('Question 5 (Data)'!AB16-'Question 5 (Data)'!AB15)/'Question 5 (Data)'!AB15</f>
        <v>2.4600246002460377E-3</v>
      </c>
      <c r="AC16" s="19">
        <f>('Question 5 (Data)'!AC16-'Question 5 (Data)'!AC15)/'Question 5 (Data)'!AC15</f>
        <v>4.3209876543209179E-3</v>
      </c>
      <c r="AD16" s="19">
        <f>('Question 5 (Data)'!AD16-'Question 5 (Data)'!AD15)/'Question 5 (Data)'!AD15</f>
        <v>-3.0084235860409147E-3</v>
      </c>
    </row>
    <row r="17" spans="1:30" ht="14.4" x14ac:dyDescent="0.3">
      <c r="A17" s="2">
        <v>2022</v>
      </c>
      <c r="B17" s="2" t="s">
        <v>35</v>
      </c>
      <c r="C17" s="19">
        <f>('Question 5 (Data)'!C17-'Question 5 (Data)'!C16)/'Question 5 (Data)'!C16</f>
        <v>0.11101925121058216</v>
      </c>
      <c r="D17" s="19">
        <f>('Question 5 (Data)'!D17-'Question 5 (Data)'!D16)/'Question 5 (Data)'!D16</f>
        <v>3.3444816053511705E-3</v>
      </c>
      <c r="E17" s="19">
        <f>('Question 5 (Data)'!E17-'Question 5 (Data)'!E16)/'Question 5 (Data)'!E16</f>
        <v>9.5621540010065714E-3</v>
      </c>
      <c r="F17" s="19">
        <f>('Question 5 (Data)'!F17-'Question 5 (Data)'!F16)/'Question 5 (Data)'!F16</f>
        <v>-1.6778523489932886E-2</v>
      </c>
      <c r="G17" s="19">
        <f>('Question 5 (Data)'!G17-'Question 5 (Data)'!G16)/'Question 5 (Data)'!G16</f>
        <v>1.2461059190030444E-3</v>
      </c>
      <c r="H17" s="19">
        <f>('Question 5 (Data)'!H17-'Question 5 (Data)'!H16)/'Question 5 (Data)'!H16</f>
        <v>1.0828370330266219E-3</v>
      </c>
      <c r="I17" s="19">
        <f>('Question 5 (Data)'!I17-'Question 5 (Data)'!I16)/'Question 5 (Data)'!I16</f>
        <v>0</v>
      </c>
      <c r="J17" s="19">
        <f>('Question 5 (Data)'!J17-'Question 5 (Data)'!J16)/'Question 5 (Data)'!J16</f>
        <v>-2.6391279403327726E-2</v>
      </c>
      <c r="K17" s="19">
        <f>('Question 5 (Data)'!K17-'Question 5 (Data)'!K16)/'Question 5 (Data)'!K16</f>
        <v>-1.2202562538134048E-3</v>
      </c>
      <c r="L17" s="19">
        <f>('Question 5 (Data)'!L17-'Question 5 (Data)'!L16)/'Question 5 (Data)'!L16</f>
        <v>-9.1666666666666199E-3</v>
      </c>
      <c r="M17" s="19">
        <f>('Question 5 (Data)'!M17-'Question 5 (Data)'!M16)/'Question 5 (Data)'!M16</f>
        <v>1.2783265543288885E-2</v>
      </c>
      <c r="N17" s="19">
        <f>('Question 5 (Data)'!N17-'Question 5 (Data)'!N16)/'Question 5 (Data)'!N16</f>
        <v>2.4345709068775241E-3</v>
      </c>
      <c r="O17" s="19">
        <f>('Question 5 (Data)'!O17-'Question 5 (Data)'!O16)/'Question 5 (Data)'!O16</f>
        <v>3.948110547095254E-3</v>
      </c>
      <c r="P17" s="19">
        <f>('Question 5 (Data)'!P17-'Question 5 (Data)'!P16)/'Question 5 (Data)'!P16</f>
        <v>-1.2019230769231793E-3</v>
      </c>
      <c r="Q17" s="19">
        <f>('Question 5 (Data)'!Q17-'Question 5 (Data)'!Q16)/'Question 5 (Data)'!Q16</f>
        <v>3.1217481789803476E-3</v>
      </c>
      <c r="R17" s="19">
        <f>('Question 5 (Data)'!R17-'Question 5 (Data)'!R16)/'Question 5 (Data)'!R16</f>
        <v>5.297233666862894E-3</v>
      </c>
      <c r="S17" s="19">
        <f>('Question 5 (Data)'!S17-'Question 5 (Data)'!S16)/'Question 5 (Data)'!S16</f>
        <v>1.0578718108276397E-2</v>
      </c>
      <c r="T17" s="19">
        <f>('Question 5 (Data)'!T17-'Question 5 (Data)'!T16)/'Question 5 (Data)'!T16</f>
        <v>6.5281899109791951E-3</v>
      </c>
      <c r="U17" s="19">
        <f>('Question 5 (Data)'!U17-'Question 5 (Data)'!U16)/'Question 5 (Data)'!U16</f>
        <v>6.0790273556231003E-3</v>
      </c>
      <c r="V17" s="19">
        <f>('Question 5 (Data)'!V17-'Question 5 (Data)'!V16)/'Question 5 (Data)'!V16</f>
        <v>9.1352009744214372E-3</v>
      </c>
      <c r="W17" s="19">
        <f>('Question 5 (Data)'!W17-'Question 5 (Data)'!W16)/'Question 5 (Data)'!W16</f>
        <v>4.3451272501552896E-3</v>
      </c>
      <c r="X17" s="19">
        <f>('Question 5 (Data)'!X17-'Question 5 (Data)'!X16)/'Question 5 (Data)'!X16</f>
        <v>4.6674445740955833E-3</v>
      </c>
      <c r="Y17" s="19">
        <f>('Question 5 (Data)'!Y17-'Question 5 (Data)'!Y16)/'Question 5 (Data)'!Y16</f>
        <v>2.5559105431310269E-3</v>
      </c>
      <c r="Z17" s="19">
        <f>('Question 5 (Data)'!Z17-'Question 5 (Data)'!Z16)/'Question 5 (Data)'!Z16</f>
        <v>5.5831265508685217E-3</v>
      </c>
      <c r="AA17" s="19">
        <f>('Question 5 (Data)'!AA17-'Question 5 (Data)'!AA16)/'Question 5 (Data)'!AA16</f>
        <v>4.2501517911355015E-3</v>
      </c>
      <c r="AB17" s="19">
        <f>('Question 5 (Data)'!AB17-'Question 5 (Data)'!AB16)/'Question 5 (Data)'!AB16</f>
        <v>8.5889570552147593E-3</v>
      </c>
      <c r="AC17" s="19">
        <f>('Question 5 (Data)'!AC17-'Question 5 (Data)'!AC16)/'Question 5 (Data)'!AC16</f>
        <v>4.9170251997542186E-3</v>
      </c>
      <c r="AD17" s="19">
        <f>('Question 5 (Data)'!AD17-'Question 5 (Data)'!AD16)/'Question 5 (Data)'!AD16</f>
        <v>2.4140012070006378E-3</v>
      </c>
    </row>
    <row r="18" spans="1:30" ht="14.4" x14ac:dyDescent="0.3">
      <c r="A18" s="2">
        <v>2022</v>
      </c>
      <c r="B18" s="2" t="s">
        <v>36</v>
      </c>
      <c r="C18" s="19">
        <f>('Question 5 (Data)'!C18-'Question 5 (Data)'!C17)/'Question 5 (Data)'!C17</f>
        <v>0.19985117465717034</v>
      </c>
      <c r="D18" s="19">
        <f>('Question 5 (Data)'!D18-'Question 5 (Data)'!D17)/'Question 5 (Data)'!D17</f>
        <v>8.6666666666667426E-3</v>
      </c>
      <c r="E18" s="19">
        <f>('Question 5 (Data)'!E18-'Question 5 (Data)'!E17)/'Question 5 (Data)'!E17</f>
        <v>5.0348953140578238E-2</v>
      </c>
      <c r="F18" s="19">
        <f>('Question 5 (Data)'!F18-'Question 5 (Data)'!F17)/'Question 5 (Data)'!F17</f>
        <v>-4.5506257110352673E-2</v>
      </c>
      <c r="G18" s="19">
        <f>('Question 5 (Data)'!G18-'Question 5 (Data)'!G17)/'Question 5 (Data)'!G17</f>
        <v>9.3341630367143758E-3</v>
      </c>
      <c r="H18" s="19">
        <f>('Question 5 (Data)'!H18-'Question 5 (Data)'!H17)/'Question 5 (Data)'!H17</f>
        <v>5.2460789616008592E-2</v>
      </c>
      <c r="I18" s="19">
        <f>('Question 5 (Data)'!I18-'Question 5 (Data)'!I17)/'Question 5 (Data)'!I17</f>
        <v>2.5374105400130163E-2</v>
      </c>
      <c r="J18" s="19">
        <f>('Question 5 (Data)'!J18-'Question 5 (Data)'!J17)/'Question 5 (Data)'!J17</f>
        <v>-1.6499705362404145E-2</v>
      </c>
      <c r="K18" s="19">
        <f>('Question 5 (Data)'!K18-'Question 5 (Data)'!K17)/'Question 5 (Data)'!K17</f>
        <v>1.2217470983507458E-3</v>
      </c>
      <c r="L18" s="19">
        <f>('Question 5 (Data)'!L18-'Question 5 (Data)'!L17)/'Question 5 (Data)'!L17</f>
        <v>-8.4104289318762419E-4</v>
      </c>
      <c r="M18" s="19">
        <f>('Question 5 (Data)'!M18-'Question 5 (Data)'!M17)/'Question 5 (Data)'!M17</f>
        <v>1.7785427423981606E-2</v>
      </c>
      <c r="N18" s="19">
        <f>('Question 5 (Data)'!N18-'Question 5 (Data)'!N17)/'Question 5 (Data)'!N17</f>
        <v>3.6429872495447649E-3</v>
      </c>
      <c r="O18" s="19">
        <f>('Question 5 (Data)'!O18-'Question 5 (Data)'!O17)/'Question 5 (Data)'!O17</f>
        <v>7.3033707865169176E-3</v>
      </c>
      <c r="P18" s="19">
        <f>('Question 5 (Data)'!P18-'Question 5 (Data)'!P17)/'Question 5 (Data)'!P17</f>
        <v>1.3237063778580128E-2</v>
      </c>
      <c r="Q18" s="19">
        <f>('Question 5 (Data)'!Q18-'Question 5 (Data)'!Q17)/'Question 5 (Data)'!Q17</f>
        <v>4.6680497925310023E-3</v>
      </c>
      <c r="R18" s="19">
        <f>('Question 5 (Data)'!R18-'Question 5 (Data)'!R17)/'Question 5 (Data)'!R17</f>
        <v>7.6112412177984949E-3</v>
      </c>
      <c r="S18" s="19">
        <f>('Question 5 (Data)'!S18-'Question 5 (Data)'!S17)/'Question 5 (Data)'!S17</f>
        <v>1.354679802955658E-2</v>
      </c>
      <c r="T18" s="19">
        <f>('Question 5 (Data)'!T18-'Question 5 (Data)'!T17)/'Question 5 (Data)'!T17</f>
        <v>8.8443396226415092E-3</v>
      </c>
      <c r="U18" s="19">
        <f>('Question 5 (Data)'!U18-'Question 5 (Data)'!U17)/'Question 5 (Data)'!U17</f>
        <v>-1.2084592145014418E-3</v>
      </c>
      <c r="V18" s="19">
        <f>('Question 5 (Data)'!V18-'Question 5 (Data)'!V17)/'Question 5 (Data)'!V17</f>
        <v>9.0525045262522634E-3</v>
      </c>
      <c r="W18" s="19">
        <f>('Question 5 (Data)'!W18-'Question 5 (Data)'!W17)/'Question 5 (Data)'!W17</f>
        <v>6.180469715698393E-3</v>
      </c>
      <c r="X18" s="19">
        <f>('Question 5 (Data)'!X18-'Question 5 (Data)'!X17)/'Question 5 (Data)'!X17</f>
        <v>4.6457607433217848E-3</v>
      </c>
      <c r="Y18" s="19">
        <f>('Question 5 (Data)'!Y18-'Question 5 (Data)'!Y17)/'Question 5 (Data)'!Y17</f>
        <v>6.3734862970044612E-3</v>
      </c>
      <c r="Z18" s="19">
        <f>('Question 5 (Data)'!Z18-'Question 5 (Data)'!Z17)/'Question 5 (Data)'!Z17</f>
        <v>7.4028377544726534E-3</v>
      </c>
      <c r="AA18" s="19">
        <f>('Question 5 (Data)'!AA18-'Question 5 (Data)'!AA17)/'Question 5 (Data)'!AA17</f>
        <v>3.6275695284159267E-3</v>
      </c>
      <c r="AB18" s="19">
        <f>('Question 5 (Data)'!AB18-'Question 5 (Data)'!AB17)/'Question 5 (Data)'!AB17</f>
        <v>1.7031630170316198E-2</v>
      </c>
      <c r="AC18" s="19">
        <f>('Question 5 (Data)'!AC18-'Question 5 (Data)'!AC17)/'Question 5 (Data)'!AC17</f>
        <v>6.7278287461773351E-3</v>
      </c>
      <c r="AD18" s="19">
        <f>('Question 5 (Data)'!AD18-'Question 5 (Data)'!AD17)/'Question 5 (Data)'!AD17</f>
        <v>9.6327513546056245E-3</v>
      </c>
    </row>
    <row r="19" spans="1:30" ht="14.4" x14ac:dyDescent="0.3">
      <c r="A19" s="2">
        <v>2022</v>
      </c>
      <c r="B19" s="2" t="s">
        <v>37</v>
      </c>
      <c r="C19" s="19">
        <f>('Question 5 (Data)'!C19-'Question 5 (Data)'!C18)/'Question 5 (Data)'!C18</f>
        <v>-8.7711526534951761E-2</v>
      </c>
      <c r="D19" s="19">
        <f>('Question 5 (Data)'!D19-'Question 5 (Data)'!D18)/'Question 5 (Data)'!D18</f>
        <v>1.0575016523463279E-2</v>
      </c>
      <c r="E19" s="19">
        <f>('Question 5 (Data)'!E19-'Question 5 (Data)'!E18)/'Question 5 (Data)'!E18</f>
        <v>5.2206929283342323E-3</v>
      </c>
      <c r="F19" s="19">
        <f>('Question 5 (Data)'!F19-'Question 5 (Data)'!F18)/'Question 5 (Data)'!F18</f>
        <v>-1.9666269368295658E-2</v>
      </c>
      <c r="G19" s="19">
        <f>('Question 5 (Data)'!G19-'Question 5 (Data)'!G18)/'Question 5 (Data)'!G18</f>
        <v>1.0480887792848441E-2</v>
      </c>
      <c r="H19" s="19">
        <f>('Question 5 (Data)'!H19-'Question 5 (Data)'!H18)/'Question 5 (Data)'!H18</f>
        <v>2.5179856115107944E-2</v>
      </c>
      <c r="I19" s="19">
        <f>('Question 5 (Data)'!I19-'Question 5 (Data)'!I18)/'Question 5 (Data)'!I18</f>
        <v>9.5177664974619297E-2</v>
      </c>
      <c r="J19" s="19">
        <f>('Question 5 (Data)'!J19-'Question 5 (Data)'!J18)/'Question 5 (Data)'!J18</f>
        <v>-4.1941282204914143E-3</v>
      </c>
      <c r="K19" s="19">
        <f>('Question 5 (Data)'!K19-'Question 5 (Data)'!K18)/'Question 5 (Data)'!K18</f>
        <v>4.8810250152530989E-3</v>
      </c>
      <c r="L19" s="19">
        <f>('Question 5 (Data)'!L19-'Question 5 (Data)'!L18)/'Question 5 (Data)'!L18</f>
        <v>1.6835016835017075E-3</v>
      </c>
      <c r="M19" s="19">
        <f>('Question 5 (Data)'!M19-'Question 5 (Data)'!M18)/'Question 5 (Data)'!M18</f>
        <v>2.1984216459977484E-2</v>
      </c>
      <c r="N19" s="19">
        <f>('Question 5 (Data)'!N19-'Question 5 (Data)'!N18)/'Question 5 (Data)'!N18</f>
        <v>5.4446460980034916E-3</v>
      </c>
      <c r="O19" s="19">
        <f>('Question 5 (Data)'!O19-'Question 5 (Data)'!O18)/'Question 5 (Data)'!O18</f>
        <v>8.9235917456776028E-3</v>
      </c>
      <c r="P19" s="19">
        <f>('Question 5 (Data)'!P19-'Question 5 (Data)'!P18)/'Question 5 (Data)'!P18</f>
        <v>1.4251781472684119E-2</v>
      </c>
      <c r="Q19" s="19">
        <f>('Question 5 (Data)'!Q19-'Question 5 (Data)'!Q18)/'Question 5 (Data)'!Q18</f>
        <v>1.0325245224574965E-3</v>
      </c>
      <c r="R19" s="19">
        <f>('Question 5 (Data)'!R19-'Question 5 (Data)'!R18)/'Question 5 (Data)'!R18</f>
        <v>1.0459035444509072E-2</v>
      </c>
      <c r="S19" s="19">
        <f>('Question 5 (Data)'!S19-'Question 5 (Data)'!S18)/'Question 5 (Data)'!S18</f>
        <v>1.1543134872418018E-2</v>
      </c>
      <c r="T19" s="19">
        <f>('Question 5 (Data)'!T19-'Question 5 (Data)'!T18)/'Question 5 (Data)'!T18</f>
        <v>9.9357101110462715E-3</v>
      </c>
      <c r="U19" s="19">
        <f>('Question 5 (Data)'!U19-'Question 5 (Data)'!U18)/'Question 5 (Data)'!U18</f>
        <v>1.0284331518451231E-2</v>
      </c>
      <c r="V19" s="19">
        <f>('Question 5 (Data)'!V19-'Question 5 (Data)'!V18)/'Question 5 (Data)'!V18</f>
        <v>2.9904306220095697E-2</v>
      </c>
      <c r="W19" s="19">
        <f>('Question 5 (Data)'!W19-'Question 5 (Data)'!W18)/'Question 5 (Data)'!W18</f>
        <v>7.371007371007301E-3</v>
      </c>
      <c r="X19" s="19">
        <f>('Question 5 (Data)'!X19-'Question 5 (Data)'!X18)/'Question 5 (Data)'!X18</f>
        <v>5.7803468208092483E-3</v>
      </c>
      <c r="Y19" s="19">
        <f>('Question 5 (Data)'!Y19-'Question 5 (Data)'!Y18)/'Question 5 (Data)'!Y18</f>
        <v>2.9765674477517344E-2</v>
      </c>
      <c r="Z19" s="19">
        <f>('Question 5 (Data)'!Z19-'Question 5 (Data)'!Z18)/'Question 5 (Data)'!Z18</f>
        <v>6.7360685854255618E-3</v>
      </c>
      <c r="AA19" s="19">
        <f>('Question 5 (Data)'!AA19-'Question 5 (Data)'!AA18)/'Question 5 (Data)'!AA18</f>
        <v>5.4216867469879864E-3</v>
      </c>
      <c r="AB19" s="19">
        <f>('Question 5 (Data)'!AB19-'Question 5 (Data)'!AB18)/'Question 5 (Data)'!AB18</f>
        <v>9.5693779904307587E-3</v>
      </c>
      <c r="AC19" s="19">
        <f>('Question 5 (Data)'!AC19-'Question 5 (Data)'!AC18)/'Question 5 (Data)'!AC18</f>
        <v>1.3365735115431453E-2</v>
      </c>
      <c r="AD19" s="19">
        <f>('Question 5 (Data)'!AD19-'Question 5 (Data)'!AD18)/'Question 5 (Data)'!AD18</f>
        <v>1.4311270125223648E-2</v>
      </c>
    </row>
    <row r="20" spans="1:30" ht="14.4" x14ac:dyDescent="0.3">
      <c r="A20" s="2">
        <v>2022</v>
      </c>
      <c r="B20" s="2" t="s">
        <v>38</v>
      </c>
      <c r="C20" s="19">
        <f>('Question 5 (Data)'!C20-'Question 5 (Data)'!C19)/'Question 5 (Data)'!C19</f>
        <v>6.3513644750898379E-2</v>
      </c>
      <c r="D20" s="19">
        <f>('Question 5 (Data)'!D20-'Question 5 (Data)'!D19)/'Question 5 (Data)'!D19</f>
        <v>7.848266841072522E-3</v>
      </c>
      <c r="E20" s="19">
        <f>('Question 5 (Data)'!E20-'Question 5 (Data)'!E19)/'Question 5 (Data)'!E19</f>
        <v>2.4551463644948011E-2</v>
      </c>
      <c r="F20" s="19">
        <f>('Question 5 (Data)'!F20-'Question 5 (Data)'!F19)/'Question 5 (Data)'!F19</f>
        <v>-1.2765957446808475E-2</v>
      </c>
      <c r="G20" s="19">
        <f>('Question 5 (Data)'!G20-'Question 5 (Data)'!G19)/'Question 5 (Data)'!G19</f>
        <v>6.1012812690665035E-3</v>
      </c>
      <c r="H20" s="19">
        <f>('Question 5 (Data)'!H20-'Question 5 (Data)'!H19)/'Question 5 (Data)'!H19</f>
        <v>1.4536340852130354E-2</v>
      </c>
      <c r="I20" s="19">
        <f>('Question 5 (Data)'!I20-'Question 5 (Data)'!I19)/'Question 5 (Data)'!I19</f>
        <v>-9.2699884125144513E-3</v>
      </c>
      <c r="J20" s="19">
        <f>('Question 5 (Data)'!J20-'Question 5 (Data)'!J19)/'Question 5 (Data)'!J19</f>
        <v>5.2346570397112019E-2</v>
      </c>
      <c r="K20" s="19">
        <f>('Question 5 (Data)'!K20-'Question 5 (Data)'!K19)/'Question 5 (Data)'!K19</f>
        <v>0</v>
      </c>
      <c r="L20" s="19">
        <f>('Question 5 (Data)'!L20-'Question 5 (Data)'!L19)/'Question 5 (Data)'!L19</f>
        <v>5.8823529411764948E-3</v>
      </c>
      <c r="M20" s="19">
        <f>('Question 5 (Data)'!M20-'Question 5 (Data)'!M19)/'Question 5 (Data)'!M19</f>
        <v>1.9856591285162681E-2</v>
      </c>
      <c r="N20" s="19">
        <f>('Question 5 (Data)'!N20-'Question 5 (Data)'!N19)/'Question 5 (Data)'!N19</f>
        <v>5.4151624548736807E-3</v>
      </c>
      <c r="O20" s="19">
        <f>('Question 5 (Data)'!O20-'Question 5 (Data)'!O19)/'Question 5 (Data)'!O19</f>
        <v>8.8446655610834399E-3</v>
      </c>
      <c r="P20" s="19">
        <f>('Question 5 (Data)'!P20-'Question 5 (Data)'!P19)/'Question 5 (Data)'!P19</f>
        <v>1.4637002341920374E-2</v>
      </c>
      <c r="Q20" s="19">
        <f>('Question 5 (Data)'!Q20-'Question 5 (Data)'!Q19)/'Question 5 (Data)'!Q19</f>
        <v>1.0314595152139691E-3</v>
      </c>
      <c r="R20" s="19">
        <f>('Question 5 (Data)'!R20-'Question 5 (Data)'!R19)/'Question 5 (Data)'!R19</f>
        <v>9.7757331799884339E-3</v>
      </c>
      <c r="S20" s="19">
        <f>('Question 5 (Data)'!S20-'Question 5 (Data)'!S19)/'Question 5 (Data)'!S19</f>
        <v>1.1411411411411446E-2</v>
      </c>
      <c r="T20" s="19">
        <f>('Question 5 (Data)'!T20-'Question 5 (Data)'!T19)/'Question 5 (Data)'!T19</f>
        <v>1.0416666666666567E-2</v>
      </c>
      <c r="U20" s="19">
        <f>('Question 5 (Data)'!U20-'Question 5 (Data)'!U19)/'Question 5 (Data)'!U19</f>
        <v>2.9940119760479044E-3</v>
      </c>
      <c r="V20" s="19">
        <f>('Question 5 (Data)'!V20-'Question 5 (Data)'!V19)/'Question 5 (Data)'!V19</f>
        <v>1.3937282229965191E-2</v>
      </c>
      <c r="W20" s="19">
        <f>('Question 5 (Data)'!W20-'Question 5 (Data)'!W19)/'Question 5 (Data)'!W19</f>
        <v>7.3170731707316384E-3</v>
      </c>
      <c r="X20" s="19">
        <f>('Question 5 (Data)'!X20-'Question 5 (Data)'!X19)/'Question 5 (Data)'!X19</f>
        <v>4.5977011494253523E-3</v>
      </c>
      <c r="Y20" s="19">
        <f>('Question 5 (Data)'!Y20-'Question 5 (Data)'!Y19)/'Question 5 (Data)'!Y19</f>
        <v>2.4600246002460377E-3</v>
      </c>
      <c r="Z20" s="19">
        <f>('Question 5 (Data)'!Z20-'Question 5 (Data)'!Z19)/'Question 5 (Data)'!Z19</f>
        <v>4.257907542579006E-3</v>
      </c>
      <c r="AA20" s="19">
        <f>('Question 5 (Data)'!AA20-'Question 5 (Data)'!AA19)/'Question 5 (Data)'!AA19</f>
        <v>5.9916117435590173E-3</v>
      </c>
      <c r="AB20" s="19">
        <f>('Question 5 (Data)'!AB20-'Question 5 (Data)'!AB19)/'Question 5 (Data)'!AB19</f>
        <v>-2.3696682464455312E-3</v>
      </c>
      <c r="AC20" s="19">
        <f>('Question 5 (Data)'!AC20-'Question 5 (Data)'!AC19)/'Question 5 (Data)'!AC19</f>
        <v>4.1966426858512504E-3</v>
      </c>
      <c r="AD20" s="19">
        <f>('Question 5 (Data)'!AD20-'Question 5 (Data)'!AD19)/'Question 5 (Data)'!AD19</f>
        <v>9.4062316284538178E-3</v>
      </c>
    </row>
    <row r="21" spans="1:30" ht="14.4" x14ac:dyDescent="0.3">
      <c r="A21" s="2">
        <v>2022</v>
      </c>
      <c r="B21" s="2" t="s">
        <v>39</v>
      </c>
      <c r="C21" s="19">
        <f>('Question 5 (Data)'!C21-'Question 5 (Data)'!C20)/'Question 5 (Data)'!C20</f>
        <v>5.9355310017350012E-2</v>
      </c>
      <c r="D21" s="19">
        <f>('Question 5 (Data)'!D21-'Question 5 (Data)'!D20)/'Question 5 (Data)'!D20</f>
        <v>5.8403634003893947E-3</v>
      </c>
      <c r="E21" s="19">
        <f>('Question 5 (Data)'!E21-'Question 5 (Data)'!E20)/'Question 5 (Data)'!E20</f>
        <v>1.1059907834101408E-2</v>
      </c>
      <c r="F21" s="19">
        <f>('Question 5 (Data)'!F21-'Question 5 (Data)'!F20)/'Question 5 (Data)'!F20</f>
        <v>5.1724137931034517E-2</v>
      </c>
      <c r="G21" s="19">
        <f>('Question 5 (Data)'!G21-'Question 5 (Data)'!G20)/'Question 5 (Data)'!G20</f>
        <v>5.4578532443905741E-3</v>
      </c>
      <c r="H21" s="19">
        <f>('Question 5 (Data)'!H21-'Question 5 (Data)'!H20)/'Question 5 (Data)'!H20</f>
        <v>-7.411067193675889E-3</v>
      </c>
      <c r="I21" s="19">
        <f>('Question 5 (Data)'!I21-'Question 5 (Data)'!I20)/'Question 5 (Data)'!I20</f>
        <v>-7.6023391812866164E-3</v>
      </c>
      <c r="J21" s="19">
        <f>('Question 5 (Data)'!J21-'Question 5 (Data)'!J20)/'Question 5 (Data)'!J20</f>
        <v>4.230989136649517E-2</v>
      </c>
      <c r="K21" s="19">
        <f>('Question 5 (Data)'!K21-'Question 5 (Data)'!K20)/'Question 5 (Data)'!K20</f>
        <v>-2.4286581663629466E-3</v>
      </c>
      <c r="L21" s="19">
        <f>('Question 5 (Data)'!L21-'Question 5 (Data)'!L20)/'Question 5 (Data)'!L20</f>
        <v>1.6708437761069578E-3</v>
      </c>
      <c r="M21" s="19">
        <f>('Question 5 (Data)'!M21-'Question 5 (Data)'!M20)/'Question 5 (Data)'!M20</f>
        <v>1.1898323418063756E-2</v>
      </c>
      <c r="N21" s="19">
        <f>('Question 5 (Data)'!N21-'Question 5 (Data)'!N20)/'Question 5 (Data)'!N20</f>
        <v>4.7875523638540481E-3</v>
      </c>
      <c r="O21" s="19">
        <f>('Question 5 (Data)'!O21-'Question 5 (Data)'!O20)/'Question 5 (Data)'!O20</f>
        <v>7.6712328767123599E-3</v>
      </c>
      <c r="P21" s="19">
        <f>('Question 5 (Data)'!P21-'Question 5 (Data)'!P20)/'Question 5 (Data)'!P20</f>
        <v>9.2325447201384546E-3</v>
      </c>
      <c r="Q21" s="19">
        <f>('Question 5 (Data)'!Q21-'Question 5 (Data)'!Q20)/'Question 5 (Data)'!Q20</f>
        <v>1.0303967027306391E-3</v>
      </c>
      <c r="R21" s="19">
        <f>('Question 5 (Data)'!R21-'Question 5 (Data)'!R20)/'Question 5 (Data)'!R20</f>
        <v>8.5421412300683373E-3</v>
      </c>
      <c r="S21" s="19">
        <f>('Question 5 (Data)'!S21-'Question 5 (Data)'!S20)/'Question 5 (Data)'!S20</f>
        <v>8.9073634204275536E-3</v>
      </c>
      <c r="T21" s="19">
        <f>('Question 5 (Data)'!T21-'Question 5 (Data)'!T20)/'Question 5 (Data)'!T20</f>
        <v>8.0183276059565042E-3</v>
      </c>
      <c r="U21" s="19">
        <f>('Question 5 (Data)'!U21-'Question 5 (Data)'!U20)/'Question 5 (Data)'!U20</f>
        <v>-4.1791044776118723E-3</v>
      </c>
      <c r="V21" s="19">
        <f>('Question 5 (Data)'!V21-'Question 5 (Data)'!V20)/'Question 5 (Data)'!V20</f>
        <v>8.0183276059565042E-3</v>
      </c>
      <c r="W21" s="19">
        <f>('Question 5 (Data)'!W21-'Question 5 (Data)'!W20)/'Question 5 (Data)'!W20</f>
        <v>7.2639225181599099E-3</v>
      </c>
      <c r="X21" s="19">
        <f>('Question 5 (Data)'!X21-'Question 5 (Data)'!X20)/'Question 5 (Data)'!X20</f>
        <v>3.4324942791761686E-3</v>
      </c>
      <c r="Y21" s="19">
        <f>('Question 5 (Data)'!Y21-'Question 5 (Data)'!Y20)/'Question 5 (Data)'!Y20</f>
        <v>-1.1656441717791446E-2</v>
      </c>
      <c r="Z21" s="19">
        <f>('Question 5 (Data)'!Z21-'Question 5 (Data)'!Z20)/'Question 5 (Data)'!Z20</f>
        <v>4.2398546335555244E-3</v>
      </c>
      <c r="AA21" s="19">
        <f>('Question 5 (Data)'!AA21-'Question 5 (Data)'!AA20)/'Question 5 (Data)'!AA20</f>
        <v>6.5515187611673272E-3</v>
      </c>
      <c r="AB21" s="19">
        <f>('Question 5 (Data)'!AB21-'Question 5 (Data)'!AB20)/'Question 5 (Data)'!AB20</f>
        <v>5.9382422802850355E-3</v>
      </c>
      <c r="AC21" s="19">
        <f>('Question 5 (Data)'!AC21-'Question 5 (Data)'!AC20)/'Question 5 (Data)'!AC20</f>
        <v>0</v>
      </c>
      <c r="AD21" s="19">
        <f>('Question 5 (Data)'!AD21-'Question 5 (Data)'!AD20)/'Question 5 (Data)'!AD20</f>
        <v>5.2417006406523343E-3</v>
      </c>
    </row>
    <row r="22" spans="1:30" ht="14.4" x14ac:dyDescent="0.3">
      <c r="A22" s="2">
        <v>2022</v>
      </c>
      <c r="B22" s="2" t="s">
        <v>40</v>
      </c>
      <c r="C22" s="19">
        <f>('Question 5 (Data)'!C22-'Question 5 (Data)'!C21)/'Question 5 (Data)'!C21</f>
        <v>-9.0681837772605897E-2</v>
      </c>
      <c r="D22" s="19">
        <f>('Question 5 (Data)'!D22-'Question 5 (Data)'!D21)/'Question 5 (Data)'!D21</f>
        <v>9.6774193548387101E-3</v>
      </c>
      <c r="E22" s="19">
        <f>('Question 5 (Data)'!E22-'Question 5 (Data)'!E21)/'Question 5 (Data)'!E21</f>
        <v>-2.9170464904284436E-2</v>
      </c>
      <c r="F22" s="19">
        <f>('Question 5 (Data)'!F22-'Question 5 (Data)'!F21)/'Question 5 (Data)'!F21</f>
        <v>2.5761124121779725E-2</v>
      </c>
      <c r="G22" s="19">
        <f>('Question 5 (Data)'!G22-'Question 5 (Data)'!G21)/'Question 5 (Data)'!G21</f>
        <v>4.8250904704462173E-3</v>
      </c>
      <c r="H22" s="19">
        <f>('Question 5 (Data)'!H22-'Question 5 (Data)'!H21)/'Question 5 (Data)'!H21</f>
        <v>-2.5385764061722219E-2</v>
      </c>
      <c r="I22" s="19">
        <f>('Question 5 (Data)'!I22-'Question 5 (Data)'!I21)/'Question 5 (Data)'!I21</f>
        <v>2.6517383618149679E-2</v>
      </c>
      <c r="J22" s="19">
        <f>('Question 5 (Data)'!J22-'Question 5 (Data)'!J21)/'Question 5 (Data)'!J21</f>
        <v>-1.0970927043336097E-3</v>
      </c>
      <c r="K22" s="19">
        <f>('Question 5 (Data)'!K22-'Question 5 (Data)'!K21)/'Question 5 (Data)'!K21</f>
        <v>0</v>
      </c>
      <c r="L22" s="19">
        <f>('Question 5 (Data)'!L22-'Question 5 (Data)'!L21)/'Question 5 (Data)'!L21</f>
        <v>8.3402835696408937E-4</v>
      </c>
      <c r="M22" s="19">
        <f>('Question 5 (Data)'!M22-'Question 5 (Data)'!M21)/'Question 5 (Data)'!M21</f>
        <v>1.5499732763228252E-2</v>
      </c>
      <c r="N22" s="19">
        <f>('Question 5 (Data)'!N22-'Question 5 (Data)'!N21)/'Question 5 (Data)'!N21</f>
        <v>2.9779630732578916E-3</v>
      </c>
      <c r="O22" s="19">
        <f>('Question 5 (Data)'!O22-'Question 5 (Data)'!O21)/'Question 5 (Data)'!O21</f>
        <v>7.0690592713430287E-3</v>
      </c>
      <c r="P22" s="19">
        <f>('Question 5 (Data)'!P22-'Question 5 (Data)'!P21)/'Question 5 (Data)'!P21</f>
        <v>5.7175528873638828E-4</v>
      </c>
      <c r="Q22" s="19">
        <f>('Question 5 (Data)'!Q22-'Question 5 (Data)'!Q21)/'Question 5 (Data)'!Q21</f>
        <v>1.5440041173442251E-3</v>
      </c>
      <c r="R22" s="19">
        <f>('Question 5 (Data)'!R22-'Question 5 (Data)'!R21)/'Question 5 (Data)'!R21</f>
        <v>6.7758328627894812E-3</v>
      </c>
      <c r="S22" s="19">
        <f>('Question 5 (Data)'!S22-'Question 5 (Data)'!S21)/'Question 5 (Data)'!S21</f>
        <v>8.2401412595644822E-3</v>
      </c>
      <c r="T22" s="19">
        <f>('Question 5 (Data)'!T22-'Question 5 (Data)'!T21)/'Question 5 (Data)'!T21</f>
        <v>7.3863636363637013E-3</v>
      </c>
      <c r="U22" s="19">
        <f>('Question 5 (Data)'!U22-'Question 5 (Data)'!U21)/'Question 5 (Data)'!U21</f>
        <v>5.9952038369304557E-3</v>
      </c>
      <c r="V22" s="19">
        <f>('Question 5 (Data)'!V22-'Question 5 (Data)'!V21)/'Question 5 (Data)'!V21</f>
        <v>2.0454545454545423E-2</v>
      </c>
      <c r="W22" s="19">
        <f>('Question 5 (Data)'!W22-'Question 5 (Data)'!W21)/'Question 5 (Data)'!W21</f>
        <v>6.0096153846153841E-3</v>
      </c>
      <c r="X22" s="19">
        <f>('Question 5 (Data)'!X22-'Question 5 (Data)'!X21)/'Question 5 (Data)'!X21</f>
        <v>3.9908779931584299E-3</v>
      </c>
      <c r="Y22" s="19">
        <f>('Question 5 (Data)'!Y22-'Question 5 (Data)'!Y21)/'Question 5 (Data)'!Y21</f>
        <v>3.1036623215394167E-3</v>
      </c>
      <c r="Z22" s="19">
        <f>('Question 5 (Data)'!Z22-'Question 5 (Data)'!Z21)/'Question 5 (Data)'!Z21</f>
        <v>3.0156815440289505E-3</v>
      </c>
      <c r="AA22" s="19">
        <f>('Question 5 (Data)'!AA22-'Question 5 (Data)'!AA21)/'Question 5 (Data)'!AA21</f>
        <v>1.4201183431952697E-2</v>
      </c>
      <c r="AB22" s="19">
        <f>('Question 5 (Data)'!AB22-'Question 5 (Data)'!AB21)/'Question 5 (Data)'!AB21</f>
        <v>1.7709563164107611E-3</v>
      </c>
      <c r="AC22" s="19">
        <f>('Question 5 (Data)'!AC22-'Question 5 (Data)'!AC21)/'Question 5 (Data)'!AC21</f>
        <v>5.3731343283582433E-3</v>
      </c>
      <c r="AD22" s="19">
        <f>('Question 5 (Data)'!AD22-'Question 5 (Data)'!AD21)/'Question 5 (Data)'!AD21</f>
        <v>4.634994206257308E-3</v>
      </c>
    </row>
    <row r="23" spans="1:30" ht="14.4" x14ac:dyDescent="0.3">
      <c r="A23" s="2">
        <v>2022</v>
      </c>
      <c r="B23" s="2" t="s">
        <v>41</v>
      </c>
      <c r="C23" s="19">
        <f>('Question 5 (Data)'!C23-'Question 5 (Data)'!C22)/'Question 5 (Data)'!C22</f>
        <v>-7.6689733624040093E-2</v>
      </c>
      <c r="D23" s="19">
        <f>('Question 5 (Data)'!D23-'Question 5 (Data)'!D22)/'Question 5 (Data)'!D22</f>
        <v>2.4281150159744483E-2</v>
      </c>
      <c r="E23" s="19">
        <f>('Question 5 (Data)'!E23-'Question 5 (Data)'!E22)/'Question 5 (Data)'!E22</f>
        <v>-3.0516431924882629E-2</v>
      </c>
      <c r="F23" s="19">
        <f>('Question 5 (Data)'!F23-'Question 5 (Data)'!F22)/'Question 5 (Data)'!F22</f>
        <v>-3.4246575342465758E-2</v>
      </c>
      <c r="G23" s="19">
        <f>('Question 5 (Data)'!G23-'Question 5 (Data)'!G22)/'Question 5 (Data)'!G22</f>
        <v>9.00360144057623E-3</v>
      </c>
      <c r="H23" s="19">
        <f>('Question 5 (Data)'!H23-'Question 5 (Data)'!H22)/'Question 5 (Data)'!H22</f>
        <v>-1.7364657814096043E-2</v>
      </c>
      <c r="I23" s="19">
        <f>('Question 5 (Data)'!I23-'Question 5 (Data)'!I22)/'Question 5 (Data)'!I22</f>
        <v>-7.4626865671640818E-3</v>
      </c>
      <c r="J23" s="19">
        <f>('Question 5 (Data)'!J23-'Question 5 (Data)'!J22)/'Question 5 (Data)'!J22</f>
        <v>2.5260845689181737E-2</v>
      </c>
      <c r="K23" s="19">
        <f>('Question 5 (Data)'!K23-'Question 5 (Data)'!K22)/'Question 5 (Data)'!K22</f>
        <v>1.7650639074862917E-2</v>
      </c>
      <c r="L23" s="19">
        <f>('Question 5 (Data)'!L23-'Question 5 (Data)'!L22)/'Question 5 (Data)'!L22</f>
        <v>7.5000000000000474E-3</v>
      </c>
      <c r="M23" s="19">
        <f>('Question 5 (Data)'!M23-'Question 5 (Data)'!M22)/'Question 5 (Data)'!M22</f>
        <v>1.8947368421052602E-2</v>
      </c>
      <c r="N23" s="19">
        <f>('Question 5 (Data)'!N23-'Question 5 (Data)'!N22)/'Question 5 (Data)'!N22</f>
        <v>2.3752969121140478E-3</v>
      </c>
      <c r="O23" s="19">
        <f>('Question 5 (Data)'!O23-'Question 5 (Data)'!O22)/'Question 5 (Data)'!O22</f>
        <v>5.9395248380130824E-3</v>
      </c>
      <c r="P23" s="19">
        <f>('Question 5 (Data)'!P23-'Question 5 (Data)'!P22)/'Question 5 (Data)'!P22</f>
        <v>7.4285714285714935E-3</v>
      </c>
      <c r="Q23" s="19">
        <f>('Question 5 (Data)'!Q23-'Question 5 (Data)'!Q22)/'Question 5 (Data)'!Q22</f>
        <v>2.0554984583761853E-3</v>
      </c>
      <c r="R23" s="19">
        <f>('Question 5 (Data)'!R23-'Question 5 (Data)'!R22)/'Question 5 (Data)'!R22</f>
        <v>6.7302299495232108E-3</v>
      </c>
      <c r="S23" s="19">
        <f>('Question 5 (Data)'!S23-'Question 5 (Data)'!S22)/'Question 5 (Data)'!S22</f>
        <v>8.1727962638644316E-3</v>
      </c>
      <c r="T23" s="19">
        <f>('Question 5 (Data)'!T23-'Question 5 (Data)'!T22)/'Question 5 (Data)'!T22</f>
        <v>6.7681895093061962E-3</v>
      </c>
      <c r="U23" s="19">
        <f>('Question 5 (Data)'!U23-'Question 5 (Data)'!U22)/'Question 5 (Data)'!U22</f>
        <v>7.1513706793801465E-3</v>
      </c>
      <c r="V23" s="19">
        <f>('Question 5 (Data)'!V23-'Question 5 (Data)'!V22)/'Question 5 (Data)'!V22</f>
        <v>-4.4543429844097048E-3</v>
      </c>
      <c r="W23" s="19">
        <f>('Question 5 (Data)'!W23-'Question 5 (Data)'!W22)/'Question 5 (Data)'!W22</f>
        <v>6.571087216248472E-3</v>
      </c>
      <c r="X23" s="19">
        <f>('Question 5 (Data)'!X23-'Question 5 (Data)'!X22)/'Question 5 (Data)'!X22</f>
        <v>3.9750141964793699E-3</v>
      </c>
      <c r="Y23" s="19">
        <f>('Question 5 (Data)'!Y23-'Question 5 (Data)'!Y22)/'Question 5 (Data)'!Y22</f>
        <v>1.8564356435644268E-3</v>
      </c>
      <c r="Z23" s="19">
        <f>('Question 5 (Data)'!Z23-'Question 5 (Data)'!Z22)/'Question 5 (Data)'!Z22</f>
        <v>3.6079374624172836E-3</v>
      </c>
      <c r="AA23" s="19">
        <f>('Question 5 (Data)'!AA23-'Question 5 (Data)'!AA22)/'Question 5 (Data)'!AA22</f>
        <v>5.2508751458576761E-3</v>
      </c>
      <c r="AB23" s="19">
        <f>('Question 5 (Data)'!AB23-'Question 5 (Data)'!AB22)/'Question 5 (Data)'!AB22</f>
        <v>8.8391278727165592E-3</v>
      </c>
      <c r="AC23" s="19">
        <f>('Question 5 (Data)'!AC23-'Question 5 (Data)'!AC22)/'Question 5 (Data)'!AC22</f>
        <v>4.1567695961994573E-3</v>
      </c>
      <c r="AD23" s="19">
        <f>('Question 5 (Data)'!AD23-'Question 5 (Data)'!AD22)/'Question 5 (Data)'!AD22</f>
        <v>5.1903114186851538E-3</v>
      </c>
    </row>
    <row r="24" spans="1:30" ht="14.4" x14ac:dyDescent="0.3">
      <c r="A24" s="2">
        <v>2022</v>
      </c>
      <c r="B24" s="2" t="s">
        <v>42</v>
      </c>
      <c r="C24" s="19">
        <f>('Question 5 (Data)'!C24-'Question 5 (Data)'!C23)/'Question 5 (Data)'!C23</f>
        <v>-6.8685831622176716E-2</v>
      </c>
      <c r="D24" s="19">
        <f>('Question 5 (Data)'!D24-'Question 5 (Data)'!D23)/'Question 5 (Data)'!D23</f>
        <v>1.9962570180910719E-2</v>
      </c>
      <c r="E24" s="19">
        <f>('Question 5 (Data)'!E24-'Question 5 (Data)'!E23)/'Question 5 (Data)'!E23</f>
        <v>1.3075060532687597E-2</v>
      </c>
      <c r="F24" s="19">
        <f>('Question 5 (Data)'!F24-'Question 5 (Data)'!F23)/'Question 5 (Data)'!F23</f>
        <v>2.9550827423167852E-3</v>
      </c>
      <c r="G24" s="19">
        <f>('Question 5 (Data)'!G24-'Question 5 (Data)'!G23)/'Question 5 (Data)'!G23</f>
        <v>9.5181439619273899E-3</v>
      </c>
      <c r="H24" s="19">
        <f>('Question 5 (Data)'!H24-'Question 5 (Data)'!H23)/'Question 5 (Data)'!H23</f>
        <v>-1.9230769230769319E-2</v>
      </c>
      <c r="I24" s="19">
        <f>('Question 5 (Data)'!I24-'Question 5 (Data)'!I23)/'Question 5 (Data)'!I23</f>
        <v>-4.1642567958357531E-2</v>
      </c>
      <c r="J24" s="19">
        <f>('Question 5 (Data)'!J24-'Question 5 (Data)'!J23)/'Question 5 (Data)'!J23</f>
        <v>2.7316550615961558E-2</v>
      </c>
      <c r="K24" s="19">
        <f>('Question 5 (Data)'!K24-'Question 5 (Data)'!K23)/'Question 5 (Data)'!K23</f>
        <v>1.1363636363636399E-2</v>
      </c>
      <c r="L24" s="19">
        <f>('Question 5 (Data)'!L24-'Question 5 (Data)'!L23)/'Question 5 (Data)'!L23</f>
        <v>5.7899090157153728E-3</v>
      </c>
      <c r="M24" s="19">
        <f>('Question 5 (Data)'!M24-'Question 5 (Data)'!M23)/'Question 5 (Data)'!M23</f>
        <v>1.9111570247933973E-2</v>
      </c>
      <c r="N24" s="19">
        <f>('Question 5 (Data)'!N24-'Question 5 (Data)'!N23)/'Question 5 (Data)'!N23</f>
        <v>3.5545023696682125E-3</v>
      </c>
      <c r="O24" s="19">
        <f>('Question 5 (Data)'!O24-'Question 5 (Data)'!O23)/'Question 5 (Data)'!O23</f>
        <v>5.9044551798174676E-3</v>
      </c>
      <c r="P24" s="19">
        <f>('Question 5 (Data)'!P24-'Question 5 (Data)'!P23)/'Question 5 (Data)'!P23</f>
        <v>8.5082246171298923E-3</v>
      </c>
      <c r="Q24" s="19">
        <f>('Question 5 (Data)'!Q24-'Question 5 (Data)'!Q23)/'Question 5 (Data)'!Q23</f>
        <v>4.6153846153846444E-3</v>
      </c>
      <c r="R24" s="19">
        <f>('Question 5 (Data)'!R24-'Question 5 (Data)'!R23)/'Question 5 (Data)'!R23</f>
        <v>7.7994428969359649E-3</v>
      </c>
      <c r="S24" s="19">
        <f>('Question 5 (Data)'!S24-'Question 5 (Data)'!S23)/'Question 5 (Data)'!S23</f>
        <v>9.2646207295890154E-3</v>
      </c>
      <c r="T24" s="19">
        <f>('Question 5 (Data)'!T24-'Question 5 (Data)'!T23)/'Question 5 (Data)'!T23</f>
        <v>7.8431372549019919E-3</v>
      </c>
      <c r="U24" s="19">
        <f>('Question 5 (Data)'!U24-'Question 5 (Data)'!U23)/'Question 5 (Data)'!U23</f>
        <v>2.9585798816568047E-3</v>
      </c>
      <c r="V24" s="19">
        <f>('Question 5 (Data)'!V24-'Question 5 (Data)'!V23)/'Question 5 (Data)'!V23</f>
        <v>3.9149888143176093E-3</v>
      </c>
      <c r="W24" s="19">
        <f>('Question 5 (Data)'!W24-'Question 5 (Data)'!W23)/'Question 5 (Data)'!W23</f>
        <v>5.9347181008902079E-3</v>
      </c>
      <c r="X24" s="19">
        <f>('Question 5 (Data)'!X24-'Question 5 (Data)'!X23)/'Question 5 (Data)'!X23</f>
        <v>5.6561085972850677E-3</v>
      </c>
      <c r="Y24" s="19">
        <f>('Question 5 (Data)'!Y24-'Question 5 (Data)'!Y23)/'Question 5 (Data)'!Y23</f>
        <v>2.470660901791264E-3</v>
      </c>
      <c r="Z24" s="19">
        <f>('Question 5 (Data)'!Z24-'Question 5 (Data)'!Z23)/'Question 5 (Data)'!Z23</f>
        <v>4.1941282204912443E-3</v>
      </c>
      <c r="AA24" s="19">
        <f>('Question 5 (Data)'!AA24-'Question 5 (Data)'!AA23)/'Question 5 (Data)'!AA23</f>
        <v>4.6430644225187636E-3</v>
      </c>
      <c r="AB24" s="19">
        <f>('Question 5 (Data)'!AB24-'Question 5 (Data)'!AB23)/'Question 5 (Data)'!AB23</f>
        <v>-1.7523364485980313E-3</v>
      </c>
      <c r="AC24" s="19">
        <f>('Question 5 (Data)'!AC24-'Question 5 (Data)'!AC23)/'Question 5 (Data)'!AC23</f>
        <v>3.548196333530422E-3</v>
      </c>
      <c r="AD24" s="19">
        <f>('Question 5 (Data)'!AD24-'Question 5 (Data)'!AD23)/'Question 5 (Data)'!AD23</f>
        <v>5.737234652897303E-3</v>
      </c>
    </row>
    <row r="25" spans="1:30" ht="14.4" x14ac:dyDescent="0.3">
      <c r="A25" s="2">
        <v>2022</v>
      </c>
      <c r="B25" s="2" t="s">
        <v>43</v>
      </c>
      <c r="C25" s="19">
        <f>('Question 5 (Data)'!C25-'Question 5 (Data)'!C24)/'Question 5 (Data)'!C24</f>
        <v>1.0913901444162818E-2</v>
      </c>
      <c r="D25" s="19">
        <f>('Question 5 (Data)'!D25-'Question 5 (Data)'!D24)/'Question 5 (Data)'!D24</f>
        <v>1.0397553516819502E-2</v>
      </c>
      <c r="E25" s="19">
        <f>('Question 5 (Data)'!E25-'Question 5 (Data)'!E24)/'Question 5 (Data)'!E24</f>
        <v>8.1261950286807706E-3</v>
      </c>
      <c r="F25" s="19">
        <f>('Question 5 (Data)'!F25-'Question 5 (Data)'!F24)/'Question 5 (Data)'!F24</f>
        <v>7.0713022981733478E-3</v>
      </c>
      <c r="G25" s="19">
        <f>('Question 5 (Data)'!G25-'Question 5 (Data)'!G24)/'Question 5 (Data)'!G24</f>
        <v>7.0713022981733478E-3</v>
      </c>
      <c r="H25" s="19">
        <f>('Question 5 (Data)'!H25-'Question 5 (Data)'!H24)/'Question 5 (Data)'!H24</f>
        <v>-1.1658717541070422E-2</v>
      </c>
      <c r="I25" s="19">
        <f>('Question 5 (Data)'!I25-'Question 5 (Data)'!I24)/'Question 5 (Data)'!I24</f>
        <v>-1.1466505733252729E-2</v>
      </c>
      <c r="J25" s="19">
        <f>('Question 5 (Data)'!J25-'Question 5 (Data)'!J24)/'Question 5 (Data)'!J24</f>
        <v>4.118873826903012E-2</v>
      </c>
      <c r="K25" s="19">
        <f>('Question 5 (Data)'!K25-'Question 5 (Data)'!K24)/'Question 5 (Data)'!K24</f>
        <v>4.1395623891189656E-3</v>
      </c>
      <c r="L25" s="19">
        <f>('Question 5 (Data)'!L25-'Question 5 (Data)'!L24)/'Question 5 (Data)'!L24</f>
        <v>2.4671052631579883E-3</v>
      </c>
      <c r="M25" s="19">
        <f>('Question 5 (Data)'!M25-'Question 5 (Data)'!M24)/'Question 5 (Data)'!M24</f>
        <v>1.3177901672579798E-2</v>
      </c>
      <c r="N25" s="19">
        <f>('Question 5 (Data)'!N25-'Question 5 (Data)'!N24)/'Question 5 (Data)'!N24</f>
        <v>2.9515938606847697E-3</v>
      </c>
      <c r="O25" s="19">
        <f>('Question 5 (Data)'!O25-'Question 5 (Data)'!O24)/'Question 5 (Data)'!O24</f>
        <v>4.8025613660619302E-3</v>
      </c>
      <c r="P25" s="19">
        <f>('Question 5 (Data)'!P25-'Question 5 (Data)'!P24)/'Question 5 (Data)'!P24</f>
        <v>1.0123734533183255E-2</v>
      </c>
      <c r="Q25" s="19">
        <f>('Question 5 (Data)'!Q25-'Question 5 (Data)'!Q24)/'Question 5 (Data)'!Q24</f>
        <v>2.0418580908627142E-3</v>
      </c>
      <c r="R25" s="19">
        <f>('Question 5 (Data)'!R25-'Question 5 (Data)'!R24)/'Question 5 (Data)'!R24</f>
        <v>5.5279159756771697E-3</v>
      </c>
      <c r="S25" s="19">
        <f>('Question 5 (Data)'!S25-'Question 5 (Data)'!S24)/'Question 5 (Data)'!S24</f>
        <v>5.737234652897303E-3</v>
      </c>
      <c r="T25" s="19">
        <f>('Question 5 (Data)'!T25-'Question 5 (Data)'!T24)/'Question 5 (Data)'!T24</f>
        <v>6.1145080600333197E-3</v>
      </c>
      <c r="U25" s="19">
        <f>('Question 5 (Data)'!U25-'Question 5 (Data)'!U24)/'Question 5 (Data)'!U24</f>
        <v>1.0029498525073679E-2</v>
      </c>
      <c r="V25" s="19">
        <f>('Question 5 (Data)'!V25-'Question 5 (Data)'!V24)/'Question 5 (Data)'!V24</f>
        <v>5.5710306406685237E-3</v>
      </c>
      <c r="W25" s="19">
        <f>('Question 5 (Data)'!W25-'Question 5 (Data)'!W24)/'Question 5 (Data)'!W24</f>
        <v>5.30973451327437E-3</v>
      </c>
      <c r="X25" s="19">
        <f>('Question 5 (Data)'!X25-'Question 5 (Data)'!X24)/'Question 5 (Data)'!X24</f>
        <v>5.0618672665915477E-3</v>
      </c>
      <c r="Y25" s="19">
        <f>('Question 5 (Data)'!Y25-'Question 5 (Data)'!Y24)/'Question 5 (Data)'!Y24</f>
        <v>3.6968576709796321E-3</v>
      </c>
      <c r="Z25" s="19">
        <f>('Question 5 (Data)'!Z25-'Question 5 (Data)'!Z24)/'Question 5 (Data)'!Z24</f>
        <v>3.579952267303069E-3</v>
      </c>
      <c r="AA25" s="19">
        <f>('Question 5 (Data)'!AA25-'Question 5 (Data)'!AA24)/'Question 5 (Data)'!AA24</f>
        <v>1.7331022530329948E-3</v>
      </c>
      <c r="AB25" s="19">
        <f>('Question 5 (Data)'!AB25-'Question 5 (Data)'!AB24)/'Question 5 (Data)'!AB24</f>
        <v>7.021650087770559E-3</v>
      </c>
      <c r="AC25" s="19">
        <f>('Question 5 (Data)'!AC25-'Question 5 (Data)'!AC24)/'Question 5 (Data)'!AC24</f>
        <v>4.7142015321155655E-3</v>
      </c>
      <c r="AD25" s="19">
        <f>('Question 5 (Data)'!AD25-'Question 5 (Data)'!AD24)/'Question 5 (Data)'!AD24</f>
        <v>7.9863091842554308E-3</v>
      </c>
    </row>
    <row r="26" spans="1:30" ht="14.4" x14ac:dyDescent="0.3">
      <c r="A26" s="2">
        <v>2022</v>
      </c>
      <c r="B26" s="2" t="s">
        <v>44</v>
      </c>
      <c r="C26" s="19">
        <f>('Question 5 (Data)'!C26-'Question 5 (Data)'!C25)/'Question 5 (Data)'!C25</f>
        <v>-4.5256270447110204E-2</v>
      </c>
      <c r="D26" s="19">
        <f>('Question 5 (Data)'!D26-'Question 5 (Data)'!D25)/'Question 5 (Data)'!D25</f>
        <v>1.3317191283293082E-2</v>
      </c>
      <c r="E26" s="19">
        <f>('Question 5 (Data)'!E26-'Question 5 (Data)'!E25)/'Question 5 (Data)'!E25</f>
        <v>-7.1123755334281651E-3</v>
      </c>
      <c r="F26" s="19">
        <f>('Question 5 (Data)'!F26-'Question 5 (Data)'!F25)/'Question 5 (Data)'!F25</f>
        <v>6.1439438267992974E-2</v>
      </c>
      <c r="G26" s="19">
        <f>('Question 5 (Data)'!G26-'Question 5 (Data)'!G25)/'Question 5 (Data)'!G25</f>
        <v>8.1919251023990971E-3</v>
      </c>
      <c r="H26" s="19">
        <f>('Question 5 (Data)'!H26-'Question 5 (Data)'!H25)/'Question 5 (Data)'!H25</f>
        <v>1.286863270777483E-2</v>
      </c>
      <c r="I26" s="19">
        <f>('Question 5 (Data)'!I26-'Question 5 (Data)'!I25)/'Question 5 (Data)'!I25</f>
        <v>-1.8925518925519063E-2</v>
      </c>
      <c r="J26" s="19">
        <f>('Question 5 (Data)'!J26-'Question 5 (Data)'!J25)/'Question 5 (Data)'!J25</f>
        <v>-8.3124687030545791E-2</v>
      </c>
      <c r="K26" s="19">
        <f>('Question 5 (Data)'!K26-'Question 5 (Data)'!K25)/'Question 5 (Data)'!K25</f>
        <v>4.1224970553591792E-3</v>
      </c>
      <c r="L26" s="19">
        <f>('Question 5 (Data)'!L26-'Question 5 (Data)'!L25)/'Question 5 (Data)'!L25</f>
        <v>1.640689089417462E-3</v>
      </c>
      <c r="M26" s="19">
        <f>('Question 5 (Data)'!M26-'Question 5 (Data)'!M25)/'Question 5 (Data)'!M25</f>
        <v>1.4507253626813434E-2</v>
      </c>
      <c r="N26" s="19">
        <f>('Question 5 (Data)'!N26-'Question 5 (Data)'!N25)/'Question 5 (Data)'!N25</f>
        <v>2.942907592701589E-3</v>
      </c>
      <c r="O26" s="19">
        <f>('Question 5 (Data)'!O26-'Question 5 (Data)'!O25)/'Question 5 (Data)'!O25</f>
        <v>6.3728093467869812E-3</v>
      </c>
      <c r="P26" s="19">
        <f>('Question 5 (Data)'!P26-'Question 5 (Data)'!P25)/'Question 5 (Data)'!P25</f>
        <v>-7.2383073496658295E-3</v>
      </c>
      <c r="Q26" s="19">
        <f>('Question 5 (Data)'!Q26-'Question 5 (Data)'!Q25)/'Question 5 (Data)'!Q25</f>
        <v>3.0565461029036897E-3</v>
      </c>
      <c r="R26" s="19">
        <f>('Question 5 (Data)'!R26-'Question 5 (Data)'!R25)/'Question 5 (Data)'!R25</f>
        <v>6.5970313358987825E-3</v>
      </c>
      <c r="S26" s="19">
        <f>('Question 5 (Data)'!S26-'Question 5 (Data)'!S25)/'Question 5 (Data)'!S25</f>
        <v>5.1340559041641596E-3</v>
      </c>
      <c r="T26" s="19">
        <f>('Question 5 (Data)'!T26-'Question 5 (Data)'!T25)/'Question 5 (Data)'!T25</f>
        <v>6.0773480662983112E-3</v>
      </c>
      <c r="U26" s="19">
        <f>('Question 5 (Data)'!U26-'Question 5 (Data)'!U25)/'Question 5 (Data)'!U25</f>
        <v>3.5046728971963948E-3</v>
      </c>
      <c r="V26" s="19">
        <f>('Question 5 (Data)'!V26-'Question 5 (Data)'!V25)/'Question 5 (Data)'!V25</f>
        <v>4.4321329639889825E-3</v>
      </c>
      <c r="W26" s="19">
        <f>('Question 5 (Data)'!W26-'Question 5 (Data)'!W25)/'Question 5 (Data)'!W25</f>
        <v>5.8685446009389668E-3</v>
      </c>
      <c r="X26" s="19">
        <f>('Question 5 (Data)'!X26-'Question 5 (Data)'!X25)/'Question 5 (Data)'!X25</f>
        <v>6.1555679910465745E-3</v>
      </c>
      <c r="Y26" s="19">
        <f>('Question 5 (Data)'!Y26-'Question 5 (Data)'!Y25)/'Question 5 (Data)'!Y25</f>
        <v>6.1387354205030267E-4</v>
      </c>
      <c r="Z26" s="19">
        <f>('Question 5 (Data)'!Z26-'Question 5 (Data)'!Z25)/'Question 5 (Data)'!Z25</f>
        <v>1.7835909631391878E-3</v>
      </c>
      <c r="AA26" s="19">
        <f>('Question 5 (Data)'!AA26-'Question 5 (Data)'!AA25)/'Question 5 (Data)'!AA25</f>
        <v>1.7301038062282753E-3</v>
      </c>
      <c r="AB26" s="19">
        <f>('Question 5 (Data)'!AB26-'Question 5 (Data)'!AB25)/'Question 5 (Data)'!AB25</f>
        <v>8.7158628704241715E-3</v>
      </c>
      <c r="AC26" s="19">
        <f>('Question 5 (Data)'!AC26-'Question 5 (Data)'!AC25)/'Question 5 (Data)'!AC25</f>
        <v>3.5190615835776792E-3</v>
      </c>
      <c r="AD26" s="19">
        <f>('Question 5 (Data)'!AD26-'Question 5 (Data)'!AD25)/'Question 5 (Data)'!AD25</f>
        <v>-1.1318619128465684E-3</v>
      </c>
    </row>
    <row r="27" spans="1:30" ht="14.4" x14ac:dyDescent="0.3">
      <c r="A27" s="2">
        <v>2022</v>
      </c>
      <c r="B27" s="2" t="s">
        <v>45</v>
      </c>
      <c r="C27" s="19">
        <f>('Question 5 (Data)'!C27-'Question 5 (Data)'!C26)/'Question 5 (Data)'!C26</f>
        <v>-0.10793832095945177</v>
      </c>
      <c r="D27" s="19">
        <f>('Question 5 (Data)'!D27-'Question 5 (Data)'!D26)/'Question 5 (Data)'!D26</f>
        <v>1.0752688172042909E-2</v>
      </c>
      <c r="E27" s="19">
        <f>('Question 5 (Data)'!E27-'Question 5 (Data)'!E26)/'Question 5 (Data)'!E26</f>
        <v>-1.9102196752626823E-3</v>
      </c>
      <c r="F27" s="19">
        <f>('Question 5 (Data)'!F27-'Question 5 (Data)'!F26)/'Question 5 (Data)'!F26</f>
        <v>4.8511576626240255E-2</v>
      </c>
      <c r="G27" s="19">
        <f>('Question 5 (Data)'!G27-'Question 5 (Data)'!G26)/'Question 5 (Data)'!G26</f>
        <v>7.5449796865930518E-3</v>
      </c>
      <c r="H27" s="19">
        <f>('Question 5 (Data)'!H27-'Question 5 (Data)'!H26)/'Question 5 (Data)'!H26</f>
        <v>-2.1175224986765785E-3</v>
      </c>
      <c r="I27" s="19">
        <f>('Question 5 (Data)'!I27-'Question 5 (Data)'!I26)/'Question 5 (Data)'!I26</f>
        <v>-1.6801493466085806E-2</v>
      </c>
      <c r="J27" s="19">
        <f>('Question 5 (Data)'!J27-'Question 5 (Data)'!J26)/'Question 5 (Data)'!J26</f>
        <v>-0.12670671764063349</v>
      </c>
      <c r="K27" s="19">
        <f>('Question 5 (Data)'!K27-'Question 5 (Data)'!K26)/'Question 5 (Data)'!K26</f>
        <v>1.7595307917889231E-3</v>
      </c>
      <c r="L27" s="19">
        <f>('Question 5 (Data)'!L27-'Question 5 (Data)'!L26)/'Question 5 (Data)'!L26</f>
        <v>-2.457002457002434E-3</v>
      </c>
      <c r="M27" s="19">
        <f>('Question 5 (Data)'!M27-'Question 5 (Data)'!M26)/'Question 5 (Data)'!M26</f>
        <v>1.1834319526627106E-2</v>
      </c>
      <c r="N27" s="19">
        <f>('Question 5 (Data)'!N27-'Question 5 (Data)'!N26)/'Question 5 (Data)'!N26</f>
        <v>3.521126760563347E-3</v>
      </c>
      <c r="O27" s="19">
        <f>('Question 5 (Data)'!O27-'Question 5 (Data)'!O26)/'Question 5 (Data)'!O26</f>
        <v>4.2216358839050729E-3</v>
      </c>
      <c r="P27" s="19">
        <f>('Question 5 (Data)'!P27-'Question 5 (Data)'!P26)/'Question 5 (Data)'!P26</f>
        <v>-1.3460459899046581E-2</v>
      </c>
      <c r="Q27" s="19">
        <f>('Question 5 (Data)'!Q27-'Question 5 (Data)'!Q26)/'Question 5 (Data)'!Q26</f>
        <v>2.031488065007647E-3</v>
      </c>
      <c r="R27" s="19">
        <f>('Question 5 (Data)'!R27-'Question 5 (Data)'!R26)/'Question 5 (Data)'!R26</f>
        <v>4.9153468050246079E-3</v>
      </c>
      <c r="S27" s="19">
        <f>('Question 5 (Data)'!S27-'Question 5 (Data)'!S26)/'Question 5 (Data)'!S26</f>
        <v>4.5402951191828118E-3</v>
      </c>
      <c r="T27" s="19">
        <f>('Question 5 (Data)'!T27-'Question 5 (Data)'!T26)/'Question 5 (Data)'!T26</f>
        <v>4.9423393739703777E-3</v>
      </c>
      <c r="U27" s="19">
        <f>('Question 5 (Data)'!U27-'Question 5 (Data)'!U26)/'Question 5 (Data)'!U26</f>
        <v>-6.4027939464494921E-3</v>
      </c>
      <c r="V27" s="19">
        <f>('Question 5 (Data)'!V27-'Question 5 (Data)'!V26)/'Question 5 (Data)'!V26</f>
        <v>3.8610038610037982E-3</v>
      </c>
      <c r="W27" s="19">
        <f>('Question 5 (Data)'!W27-'Question 5 (Data)'!W26)/'Question 5 (Data)'!W26</f>
        <v>4.0840140023336562E-3</v>
      </c>
      <c r="X27" s="19">
        <f>('Question 5 (Data)'!X27-'Question 5 (Data)'!X26)/'Question 5 (Data)'!X26</f>
        <v>7.2302558398219295E-3</v>
      </c>
      <c r="Y27" s="19">
        <f>('Question 5 (Data)'!Y27-'Question 5 (Data)'!Y26)/'Question 5 (Data)'!Y26</f>
        <v>2.4539877300613845E-3</v>
      </c>
      <c r="Z27" s="19">
        <f>('Question 5 (Data)'!Z27-'Question 5 (Data)'!Z26)/'Question 5 (Data)'!Z26</f>
        <v>2.3738872403561168E-3</v>
      </c>
      <c r="AA27" s="19">
        <f>('Question 5 (Data)'!AA27-'Question 5 (Data)'!AA26)/'Question 5 (Data)'!AA26</f>
        <v>2.3028209556707293E-3</v>
      </c>
      <c r="AB27" s="19">
        <f>('Question 5 (Data)'!AB27-'Question 5 (Data)'!AB26)/'Question 5 (Data)'!AB26</f>
        <v>1.2672811059907932E-2</v>
      </c>
      <c r="AC27" s="19">
        <f>('Question 5 (Data)'!AC27-'Question 5 (Data)'!AC26)/'Question 5 (Data)'!AC26</f>
        <v>5.2600818234950653E-3</v>
      </c>
      <c r="AD27" s="19">
        <f>('Question 5 (Data)'!AD27-'Question 5 (Data)'!AD26)/'Question 5 (Data)'!AD26</f>
        <v>-4.5325779036827843E-3</v>
      </c>
    </row>
    <row r="28" spans="1:30" ht="14.4" x14ac:dyDescent="0.3">
      <c r="A28" s="2">
        <v>2023</v>
      </c>
      <c r="B28" s="2" t="s">
        <v>31</v>
      </c>
      <c r="C28" s="19">
        <f>('Question 5 (Data)'!C28-'Question 5 (Data)'!C27)/'Question 5 (Data)'!C27</f>
        <v>3.6107554417413666E-2</v>
      </c>
      <c r="D28" s="19">
        <f>('Question 5 (Data)'!D28-'Question 5 (Data)'!D27)/'Question 5 (Data)'!D27</f>
        <v>2.7186761229314557E-2</v>
      </c>
      <c r="E28" s="19">
        <f>('Question 5 (Data)'!E28-'Question 5 (Data)'!E27)/'Question 5 (Data)'!E27</f>
        <v>8.1339712918659744E-3</v>
      </c>
      <c r="F28" s="19">
        <f>('Question 5 (Data)'!F28-'Question 5 (Data)'!F27)/'Question 5 (Data)'!F27</f>
        <v>2.2607781282860208E-2</v>
      </c>
      <c r="G28" s="19">
        <f>('Question 5 (Data)'!G28-'Question 5 (Data)'!G27)/'Question 5 (Data)'!G27</f>
        <v>5.7603686635944703E-3</v>
      </c>
      <c r="H28" s="19">
        <f>('Question 5 (Data)'!H28-'Question 5 (Data)'!H27)/'Question 5 (Data)'!H27</f>
        <v>-6.8965517241379917E-3</v>
      </c>
      <c r="I28" s="19">
        <f>('Question 5 (Data)'!I28-'Question 5 (Data)'!I27)/'Question 5 (Data)'!I27</f>
        <v>1.8987341772152618E-3</v>
      </c>
      <c r="J28" s="19">
        <f>('Question 5 (Data)'!J28-'Question 5 (Data)'!J27)/'Question 5 (Data)'!J27</f>
        <v>-3.7523452157598496E-2</v>
      </c>
      <c r="K28" s="19">
        <f>('Question 5 (Data)'!K28-'Question 5 (Data)'!K27)/'Question 5 (Data)'!K27</f>
        <v>5.854800936767817E-4</v>
      </c>
      <c r="L28" s="19">
        <f>('Question 5 (Data)'!L28-'Question 5 (Data)'!L27)/'Question 5 (Data)'!L27</f>
        <v>-5.7471264367816325E-3</v>
      </c>
      <c r="M28" s="19">
        <f>('Question 5 (Data)'!M28-'Question 5 (Data)'!M27)/'Question 5 (Data)'!M27</f>
        <v>1.5594541910331468E-2</v>
      </c>
      <c r="N28" s="19">
        <f>('Question 5 (Data)'!N28-'Question 5 (Data)'!N27)/'Question 5 (Data)'!N27</f>
        <v>2.339181286549741E-3</v>
      </c>
      <c r="O28" s="19">
        <f>('Question 5 (Data)'!O28-'Question 5 (Data)'!O27)/'Question 5 (Data)'!O27</f>
        <v>4.7293746715710832E-3</v>
      </c>
      <c r="P28" s="19">
        <f>('Question 5 (Data)'!P28-'Question 5 (Data)'!P27)/'Question 5 (Data)'!P27</f>
        <v>4.5480386583284984E-3</v>
      </c>
      <c r="Q28" s="19">
        <f>('Question 5 (Data)'!Q28-'Question 5 (Data)'!Q27)/'Question 5 (Data)'!Q27</f>
        <v>4.5615813482005937E-3</v>
      </c>
      <c r="R28" s="19">
        <f>('Question 5 (Data)'!R28-'Question 5 (Data)'!R27)/'Question 5 (Data)'!R27</f>
        <v>4.8913043478261177E-3</v>
      </c>
      <c r="S28" s="19">
        <f>('Question 5 (Data)'!S28-'Question 5 (Data)'!S27)/'Question 5 (Data)'!S27</f>
        <v>3.3898305084745441E-3</v>
      </c>
      <c r="T28" s="19">
        <f>('Question 5 (Data)'!T28-'Question 5 (Data)'!T27)/'Question 5 (Data)'!T27</f>
        <v>4.3715846994536144E-3</v>
      </c>
      <c r="U28" s="19">
        <f>('Question 5 (Data)'!U28-'Question 5 (Data)'!U27)/'Question 5 (Data)'!U27</f>
        <v>8.201523140011751E-3</v>
      </c>
      <c r="V28" s="19">
        <f>('Question 5 (Data)'!V28-'Question 5 (Data)'!V27)/'Question 5 (Data)'!V27</f>
        <v>0</v>
      </c>
      <c r="W28" s="19">
        <f>('Question 5 (Data)'!W28-'Question 5 (Data)'!W27)/'Question 5 (Data)'!W27</f>
        <v>4.648460197559625E-3</v>
      </c>
      <c r="X28" s="19">
        <f>('Question 5 (Data)'!X28-'Question 5 (Data)'!X27)/'Question 5 (Data)'!X27</f>
        <v>6.6261733848703317E-3</v>
      </c>
      <c r="Y28" s="19">
        <f>('Question 5 (Data)'!Y28-'Question 5 (Data)'!Y27)/'Question 5 (Data)'!Y27</f>
        <v>1.2239902080782657E-3</v>
      </c>
      <c r="Z28" s="19">
        <f>('Question 5 (Data)'!Z28-'Question 5 (Data)'!Z27)/'Question 5 (Data)'!Z27</f>
        <v>3.5523978685612452E-3</v>
      </c>
      <c r="AA28" s="19">
        <f>('Question 5 (Data)'!AA28-'Question 5 (Data)'!AA27)/'Question 5 (Data)'!AA27</f>
        <v>1.1487650775417408E-3</v>
      </c>
      <c r="AB28" s="19">
        <f>('Question 5 (Data)'!AB28-'Question 5 (Data)'!AB27)/'Question 5 (Data)'!AB27</f>
        <v>1.5927189988623337E-2</v>
      </c>
      <c r="AC28" s="19">
        <f>('Question 5 (Data)'!AC28-'Question 5 (Data)'!AC27)/'Question 5 (Data)'!AC27</f>
        <v>4.6511627906977403E-3</v>
      </c>
      <c r="AD28" s="19">
        <f>('Question 5 (Data)'!AD28-'Question 5 (Data)'!AD27)/'Question 5 (Data)'!AD27</f>
        <v>4.5532157085942599E-3</v>
      </c>
    </row>
    <row r="29" spans="1:30" ht="14.4" x14ac:dyDescent="0.3">
      <c r="A29" s="2">
        <v>2023</v>
      </c>
      <c r="B29" s="2" t="s">
        <v>35</v>
      </c>
      <c r="C29" s="19">
        <f>('Question 5 (Data)'!C29-'Question 5 (Data)'!C28)/'Question 5 (Data)'!C28</f>
        <v>1.6806722689075623E-2</v>
      </c>
      <c r="D29" s="19">
        <f>('Question 5 (Data)'!D29-'Question 5 (Data)'!D28)/'Question 5 (Data)'!D28</f>
        <v>3.4522439585730398E-3</v>
      </c>
      <c r="E29" s="19">
        <f>('Question 5 (Data)'!E29-'Question 5 (Data)'!E28)/'Question 5 (Data)'!E28</f>
        <v>-1.423825344091125E-2</v>
      </c>
      <c r="F29" s="19">
        <f>('Question 5 (Data)'!F29-'Question 5 (Data)'!F28)/'Question 5 (Data)'!F28</f>
        <v>-9.9228791773778982E-2</v>
      </c>
      <c r="G29" s="19">
        <f>('Question 5 (Data)'!G29-'Question 5 (Data)'!G28)/'Question 5 (Data)'!G28</f>
        <v>1.5463917525773294E-2</v>
      </c>
      <c r="H29" s="19">
        <f>('Question 5 (Data)'!H29-'Question 5 (Data)'!H28)/'Question 5 (Data)'!H28</f>
        <v>-4.2200854700854579E-2</v>
      </c>
      <c r="I29" s="19">
        <f>('Question 5 (Data)'!I29-'Question 5 (Data)'!I28)/'Question 5 (Data)'!I28</f>
        <v>7.0751737207833149E-2</v>
      </c>
      <c r="J29" s="19">
        <f>('Question 5 (Data)'!J29-'Question 5 (Data)'!J28)/'Question 5 (Data)'!J28</f>
        <v>-7.7972709551658026E-3</v>
      </c>
      <c r="K29" s="19">
        <f>('Question 5 (Data)'!K29-'Question 5 (Data)'!K28)/'Question 5 (Data)'!K28</f>
        <v>5.8513750731418557E-4</v>
      </c>
      <c r="L29" s="19">
        <f>('Question 5 (Data)'!L29-'Question 5 (Data)'!L28)/'Question 5 (Data)'!L28</f>
        <v>-9.0834021469859156E-3</v>
      </c>
      <c r="M29" s="19">
        <f>('Question 5 (Data)'!M29-'Question 5 (Data)'!M28)/'Question 5 (Data)'!M28</f>
        <v>6.2380038387715112E-3</v>
      </c>
      <c r="N29" s="19">
        <f>('Question 5 (Data)'!N29-'Question 5 (Data)'!N28)/'Question 5 (Data)'!N28</f>
        <v>5.2508751458576761E-3</v>
      </c>
      <c r="O29" s="19">
        <f>('Question 5 (Data)'!O29-'Question 5 (Data)'!O28)/'Question 5 (Data)'!O28</f>
        <v>9.4142259414226534E-3</v>
      </c>
      <c r="P29" s="19">
        <f>('Question 5 (Data)'!P29-'Question 5 (Data)'!P28)/'Question 5 (Data)'!P28</f>
        <v>1.6977928692700134E-3</v>
      </c>
      <c r="Q29" s="19">
        <f>('Question 5 (Data)'!Q29-'Question 5 (Data)'!Q28)/'Question 5 (Data)'!Q28</f>
        <v>6.5590312815338621E-3</v>
      </c>
      <c r="R29" s="19">
        <f>('Question 5 (Data)'!R29-'Question 5 (Data)'!R28)/'Question 5 (Data)'!R28</f>
        <v>7.0308274743103453E-3</v>
      </c>
      <c r="S29" s="19">
        <f>('Question 5 (Data)'!S29-'Question 5 (Data)'!S28)/'Question 5 (Data)'!S28</f>
        <v>6.1936936936936617E-3</v>
      </c>
      <c r="T29" s="19">
        <f>('Question 5 (Data)'!T29-'Question 5 (Data)'!T28)/'Question 5 (Data)'!T28</f>
        <v>7.0729053318823879E-3</v>
      </c>
      <c r="U29" s="19">
        <f>('Question 5 (Data)'!U29-'Question 5 (Data)'!U28)/'Question 5 (Data)'!U28</f>
        <v>8.1348053457292614E-3</v>
      </c>
      <c r="V29" s="19">
        <f>('Question 5 (Data)'!V29-'Question 5 (Data)'!V28)/'Question 5 (Data)'!V28</f>
        <v>5.4945054945051823E-4</v>
      </c>
      <c r="W29" s="19">
        <f>('Question 5 (Data)'!W29-'Question 5 (Data)'!W28)/'Question 5 (Data)'!W28</f>
        <v>7.5187969924811037E-3</v>
      </c>
      <c r="X29" s="19">
        <f>('Question 5 (Data)'!X29-'Question 5 (Data)'!X28)/'Question 5 (Data)'!X28</f>
        <v>1.1519473395501889E-2</v>
      </c>
      <c r="Y29" s="19">
        <f>('Question 5 (Data)'!Y29-'Question 5 (Data)'!Y28)/'Question 5 (Data)'!Y28</f>
        <v>3.6674816625916523E-3</v>
      </c>
      <c r="Z29" s="19">
        <f>('Question 5 (Data)'!Z29-'Question 5 (Data)'!Z28)/'Question 5 (Data)'!Z28</f>
        <v>4.7197640117994768E-3</v>
      </c>
      <c r="AA29" s="19">
        <f>('Question 5 (Data)'!AA29-'Question 5 (Data)'!AA28)/'Question 5 (Data)'!AA28</f>
        <v>4.016064257028047E-3</v>
      </c>
      <c r="AB29" s="19">
        <f>('Question 5 (Data)'!AB29-'Question 5 (Data)'!AB28)/'Question 5 (Data)'!AB28</f>
        <v>1.3437849944008991E-2</v>
      </c>
      <c r="AC29" s="19">
        <f>('Question 5 (Data)'!AC29-'Question 5 (Data)'!AC28)/'Question 5 (Data)'!AC28</f>
        <v>7.5231481481480489E-3</v>
      </c>
      <c r="AD29" s="19">
        <f>('Question 5 (Data)'!AD29-'Question 5 (Data)'!AD28)/'Question 5 (Data)'!AD28</f>
        <v>3.9660056657223148E-3</v>
      </c>
    </row>
    <row r="30" spans="1:30" ht="14.4" x14ac:dyDescent="0.3">
      <c r="A30" s="2">
        <v>2023</v>
      </c>
      <c r="B30" s="2" t="s">
        <v>36</v>
      </c>
      <c r="C30" s="19">
        <f>('Question 5 (Data)'!C30-'Question 5 (Data)'!C29)/'Question 5 (Data)'!C29</f>
        <v>-4.5454545454545393E-2</v>
      </c>
      <c r="D30" s="19">
        <f>('Question 5 (Data)'!D30-'Question 5 (Data)'!D29)/'Question 5 (Data)'!D29</f>
        <v>0</v>
      </c>
      <c r="E30" s="19">
        <f>('Question 5 (Data)'!E30-'Question 5 (Data)'!E29)/'Question 5 (Data)'!E29</f>
        <v>0</v>
      </c>
      <c r="F30" s="19">
        <f>('Question 5 (Data)'!F30-'Question 5 (Data)'!F29)/'Question 5 (Data)'!F29</f>
        <v>0</v>
      </c>
      <c r="G30" s="19">
        <f>('Question 5 (Data)'!G30-'Question 5 (Data)'!G29)/'Question 5 (Data)'!G29</f>
        <v>0</v>
      </c>
      <c r="H30" s="19">
        <f>('Question 5 (Data)'!H30-'Question 5 (Data)'!H29)/'Question 5 (Data)'!H29</f>
        <v>-5.5772448410497898E-4</v>
      </c>
      <c r="I30" s="19">
        <f>('Question 5 (Data)'!I30-'Question 5 (Data)'!I29)/'Question 5 (Data)'!I29</f>
        <v>0</v>
      </c>
      <c r="J30" s="19">
        <f>('Question 5 (Data)'!J30-'Question 5 (Data)'!J29)/'Question 5 (Data)'!J29</f>
        <v>6.5487884741337755E-4</v>
      </c>
      <c r="K30" s="19">
        <f>('Question 5 (Data)'!K30-'Question 5 (Data)'!K29)/'Question 5 (Data)'!K29</f>
        <v>5.8479532163739363E-4</v>
      </c>
      <c r="L30" s="19">
        <f>('Question 5 (Data)'!L30-'Question 5 (Data)'!L29)/'Question 5 (Data)'!L29</f>
        <v>0</v>
      </c>
      <c r="M30" s="19">
        <f>('Question 5 (Data)'!M30-'Question 5 (Data)'!M29)/'Question 5 (Data)'!M29</f>
        <v>0</v>
      </c>
      <c r="N30" s="19">
        <f>('Question 5 (Data)'!N30-'Question 5 (Data)'!N29)/'Question 5 (Data)'!N29</f>
        <v>0</v>
      </c>
      <c r="O30" s="19">
        <f>('Question 5 (Data)'!O30-'Question 5 (Data)'!O29)/'Question 5 (Data)'!O29</f>
        <v>0</v>
      </c>
      <c r="P30" s="19">
        <f>('Question 5 (Data)'!P30-'Question 5 (Data)'!P29)/'Question 5 (Data)'!P29</f>
        <v>0</v>
      </c>
      <c r="Q30" s="19">
        <f>('Question 5 (Data)'!Q30-'Question 5 (Data)'!Q29)/'Question 5 (Data)'!Q29</f>
        <v>0</v>
      </c>
      <c r="R30" s="19">
        <f>('Question 5 (Data)'!R30-'Question 5 (Data)'!R29)/'Question 5 (Data)'!R29</f>
        <v>-5.3705692803434116E-4</v>
      </c>
      <c r="S30" s="19">
        <f>('Question 5 (Data)'!S30-'Question 5 (Data)'!S29)/'Question 5 (Data)'!S29</f>
        <v>0</v>
      </c>
      <c r="T30" s="19">
        <f>('Question 5 (Data)'!T30-'Question 5 (Data)'!T29)/'Question 5 (Data)'!T29</f>
        <v>0</v>
      </c>
      <c r="U30" s="19">
        <f>('Question 5 (Data)'!U30-'Question 5 (Data)'!U29)/'Question 5 (Data)'!U29</f>
        <v>0</v>
      </c>
      <c r="V30" s="19">
        <f>('Question 5 (Data)'!V30-'Question 5 (Data)'!V29)/'Question 5 (Data)'!V29</f>
        <v>-1.0982976386600144E-3</v>
      </c>
      <c r="W30" s="19">
        <f>('Question 5 (Data)'!W30-'Question 5 (Data)'!W29)/'Question 5 (Data)'!W29</f>
        <v>0</v>
      </c>
      <c r="X30" s="19">
        <f>('Question 5 (Data)'!X30-'Question 5 (Data)'!X29)/'Question 5 (Data)'!X29</f>
        <v>0</v>
      </c>
      <c r="Y30" s="19">
        <f>('Question 5 (Data)'!Y30-'Question 5 (Data)'!Y29)/'Question 5 (Data)'!Y29</f>
        <v>0</v>
      </c>
      <c r="Z30" s="19">
        <f>('Question 5 (Data)'!Z30-'Question 5 (Data)'!Z29)/'Question 5 (Data)'!Z29</f>
        <v>0</v>
      </c>
      <c r="AA30" s="19">
        <f>('Question 5 (Data)'!AA30-'Question 5 (Data)'!AA29)/'Question 5 (Data)'!AA29</f>
        <v>0</v>
      </c>
      <c r="AB30" s="19">
        <f>('Question 5 (Data)'!AB30-'Question 5 (Data)'!AB29)/'Question 5 (Data)'!AB29</f>
        <v>0</v>
      </c>
      <c r="AC30" s="19">
        <f>('Question 5 (Data)'!AC30-'Question 5 (Data)'!AC29)/'Question 5 (Data)'!AC29</f>
        <v>0</v>
      </c>
      <c r="AD30" s="19">
        <f>('Question 5 (Data)'!AD30-'Question 5 (Data)'!AD29)/'Question 5 (Data)'!AD29</f>
        <v>0</v>
      </c>
    </row>
    <row r="31" spans="1:30" ht="14.4" x14ac:dyDescent="0.3">
      <c r="A31" s="2">
        <v>2023</v>
      </c>
      <c r="B31" s="2" t="s">
        <v>37</v>
      </c>
      <c r="C31" s="19">
        <f>('Question 5 (Data)'!C31-'Question 5 (Data)'!C30)/'Question 5 (Data)'!C30</f>
        <v>6.6462948815889974E-2</v>
      </c>
      <c r="D31" s="19">
        <f>('Question 5 (Data)'!D31-'Question 5 (Data)'!D30)/'Question 5 (Data)'!D30</f>
        <v>-3.4403669724770315E-3</v>
      </c>
      <c r="E31" s="19">
        <f>('Question 5 (Data)'!E31-'Question 5 (Data)'!E30)/'Question 5 (Data)'!E30</f>
        <v>7.7034183919115207E-3</v>
      </c>
      <c r="F31" s="19">
        <f>('Question 5 (Data)'!F31-'Question 5 (Data)'!F30)/'Question 5 (Data)'!F30</f>
        <v>-3.1963470319634674E-2</v>
      </c>
      <c r="G31" s="19">
        <f>('Question 5 (Data)'!G31-'Question 5 (Data)'!G30)/'Question 5 (Data)'!G30</f>
        <v>6.2041737168640398E-3</v>
      </c>
      <c r="H31" s="19">
        <f>('Question 5 (Data)'!H31-'Question 5 (Data)'!H30)/'Question 5 (Data)'!H30</f>
        <v>-2.3995535714285622E-2</v>
      </c>
      <c r="I31" s="19">
        <f>('Question 5 (Data)'!I31-'Question 5 (Data)'!I30)/'Question 5 (Data)'!I30</f>
        <v>4.0117994100295054E-2</v>
      </c>
      <c r="J31" s="19">
        <f>('Question 5 (Data)'!J31-'Question 5 (Data)'!J30)/'Question 5 (Data)'!J30</f>
        <v>1.7015706806282685E-2</v>
      </c>
      <c r="K31" s="19">
        <f>('Question 5 (Data)'!K31-'Question 5 (Data)'!K30)/'Question 5 (Data)'!K30</f>
        <v>1.3442431326709593E-2</v>
      </c>
      <c r="L31" s="19">
        <f>('Question 5 (Data)'!L31-'Question 5 (Data)'!L30)/'Question 5 (Data)'!L30</f>
        <v>1.0833333333333309E-2</v>
      </c>
      <c r="M31" s="19">
        <f>('Question 5 (Data)'!M31-'Question 5 (Data)'!M30)/'Question 5 (Data)'!M30</f>
        <v>1.5259895088221351E-2</v>
      </c>
      <c r="N31" s="19">
        <f>('Question 5 (Data)'!N31-'Question 5 (Data)'!N30)/'Question 5 (Data)'!N30</f>
        <v>3.4822983168891135E-3</v>
      </c>
      <c r="O31" s="19">
        <f>('Question 5 (Data)'!O31-'Question 5 (Data)'!O30)/'Question 5 (Data)'!O30</f>
        <v>2.5906735751295338E-3</v>
      </c>
      <c r="P31" s="19">
        <f>('Question 5 (Data)'!P31-'Question 5 (Data)'!P30)/'Question 5 (Data)'!P30</f>
        <v>5.0847457627118961E-3</v>
      </c>
      <c r="Q31" s="19">
        <f>('Question 5 (Data)'!Q31-'Question 5 (Data)'!Q30)/'Question 5 (Data)'!Q30</f>
        <v>5.5137844611528536E-3</v>
      </c>
      <c r="R31" s="19">
        <f>('Question 5 (Data)'!R31-'Question 5 (Data)'!R30)/'Question 5 (Data)'!R30</f>
        <v>4.2987641053197816E-3</v>
      </c>
      <c r="S31" s="19">
        <f>('Question 5 (Data)'!S31-'Question 5 (Data)'!S30)/'Question 5 (Data)'!S30</f>
        <v>2.7979854504756579E-3</v>
      </c>
      <c r="T31" s="19">
        <f>('Question 5 (Data)'!T31-'Question 5 (Data)'!T30)/'Question 5 (Data)'!T30</f>
        <v>3.2414910858994833E-3</v>
      </c>
      <c r="U31" s="19">
        <f>('Question 5 (Data)'!U31-'Question 5 (Data)'!U30)/'Question 5 (Data)'!U30</f>
        <v>9.7982708933716921E-3</v>
      </c>
      <c r="V31" s="19">
        <f>('Question 5 (Data)'!V31-'Question 5 (Data)'!V30)/'Question 5 (Data)'!V30</f>
        <v>-1.0995052226499013E-3</v>
      </c>
      <c r="W31" s="19">
        <f>('Question 5 (Data)'!W31-'Question 5 (Data)'!W30)/'Question 5 (Data)'!W30</f>
        <v>2.2962112514351646E-3</v>
      </c>
      <c r="X31" s="19">
        <f>('Question 5 (Data)'!X31-'Question 5 (Data)'!X30)/'Question 5 (Data)'!X30</f>
        <v>3.2537960954446546E-3</v>
      </c>
      <c r="Y31" s="19">
        <f>('Question 5 (Data)'!Y31-'Question 5 (Data)'!Y30)/'Question 5 (Data)'!Y30</f>
        <v>1.8270401948843567E-3</v>
      </c>
      <c r="Z31" s="19">
        <f>('Question 5 (Data)'!Z31-'Question 5 (Data)'!Z30)/'Question 5 (Data)'!Z30</f>
        <v>2.3487962419258793E-3</v>
      </c>
      <c r="AA31" s="19">
        <f>('Question 5 (Data)'!AA31-'Question 5 (Data)'!AA30)/'Question 5 (Data)'!AA30</f>
        <v>8.0000000000000331E-3</v>
      </c>
      <c r="AB31" s="19">
        <f>('Question 5 (Data)'!AB31-'Question 5 (Data)'!AB30)/'Question 5 (Data)'!AB30</f>
        <v>1.6574585635359115E-2</v>
      </c>
      <c r="AC31" s="19">
        <f>('Question 5 (Data)'!AC31-'Question 5 (Data)'!AC30)/'Question 5 (Data)'!AC30</f>
        <v>5.1694428489374254E-3</v>
      </c>
      <c r="AD31" s="19">
        <f>('Question 5 (Data)'!AD31-'Question 5 (Data)'!AD30)/'Question 5 (Data)'!AD30</f>
        <v>5.0790067720090613E-3</v>
      </c>
    </row>
    <row r="32" spans="1:30" ht="14.4" x14ac:dyDescent="0.3">
      <c r="A32" s="2">
        <v>2023</v>
      </c>
      <c r="B32" s="2" t="s">
        <v>38</v>
      </c>
      <c r="C32" s="19">
        <f>('Question 5 (Data)'!C32-'Question 5 (Data)'!C31)/'Question 5 (Data)'!C31</f>
        <v>-0.10482330468003821</v>
      </c>
      <c r="D32" s="19">
        <f>('Question 5 (Data)'!D32-'Question 5 (Data)'!D31)/'Question 5 (Data)'!D31</f>
        <v>-5.7537399309564284E-4</v>
      </c>
      <c r="E32" s="19">
        <f>('Question 5 (Data)'!E32-'Question 5 (Data)'!E31)/'Question 5 (Data)'!E31</f>
        <v>2.3889154323936932E-2</v>
      </c>
      <c r="F32" s="19">
        <f>('Question 5 (Data)'!F32-'Question 5 (Data)'!F31)/'Question 5 (Data)'!F31</f>
        <v>2.122641509433959E-2</v>
      </c>
      <c r="G32" s="19">
        <f>('Question 5 (Data)'!G32-'Question 5 (Data)'!G31)/'Question 5 (Data)'!G31</f>
        <v>6.1659192825111791E-3</v>
      </c>
      <c r="H32" s="19">
        <f>('Question 5 (Data)'!H32-'Question 5 (Data)'!H31)/'Question 5 (Data)'!H31</f>
        <v>-2.801600914808465E-2</v>
      </c>
      <c r="I32" s="19">
        <f>('Question 5 (Data)'!I32-'Question 5 (Data)'!I31)/'Question 5 (Data)'!I31</f>
        <v>-2.32558139534885E-2</v>
      </c>
      <c r="J32" s="19">
        <f>('Question 5 (Data)'!J32-'Question 5 (Data)'!J31)/'Question 5 (Data)'!J31</f>
        <v>3.6036036036036001E-2</v>
      </c>
      <c r="K32" s="19">
        <f>('Question 5 (Data)'!K32-'Question 5 (Data)'!K31)/'Question 5 (Data)'!K31</f>
        <v>1.2687427912341341E-2</v>
      </c>
      <c r="L32" s="19">
        <f>('Question 5 (Data)'!L32-'Question 5 (Data)'!L31)/'Question 5 (Data)'!L31</f>
        <v>1.1541632316570533E-2</v>
      </c>
      <c r="M32" s="19">
        <f>('Question 5 (Data)'!M32-'Question 5 (Data)'!M31)/'Question 5 (Data)'!M31</f>
        <v>2.3954908407703118E-2</v>
      </c>
      <c r="N32" s="19">
        <f>('Question 5 (Data)'!N32-'Question 5 (Data)'!N31)/'Question 5 (Data)'!N31</f>
        <v>2.8918449971081549E-3</v>
      </c>
      <c r="O32" s="19">
        <f>('Question 5 (Data)'!O32-'Question 5 (Data)'!O31)/'Question 5 (Data)'!O31</f>
        <v>3.6175710594314658E-3</v>
      </c>
      <c r="P32" s="19">
        <f>('Question 5 (Data)'!P32-'Question 5 (Data)'!P31)/'Question 5 (Data)'!P31</f>
        <v>6.7453625632377095E-3</v>
      </c>
      <c r="Q32" s="19">
        <f>('Question 5 (Data)'!Q32-'Question 5 (Data)'!Q31)/'Question 5 (Data)'!Q31</f>
        <v>1.9940179461615439E-3</v>
      </c>
      <c r="R32" s="19">
        <f>('Question 5 (Data)'!R32-'Question 5 (Data)'!R31)/'Question 5 (Data)'!R31</f>
        <v>2.1401819154628445E-3</v>
      </c>
      <c r="S32" s="19">
        <f>('Question 5 (Data)'!S32-'Question 5 (Data)'!S31)/'Question 5 (Data)'!S31</f>
        <v>2.7901785714285715E-3</v>
      </c>
      <c r="T32" s="19">
        <f>('Question 5 (Data)'!T32-'Question 5 (Data)'!T31)/'Question 5 (Data)'!T31</f>
        <v>2.6925148088314489E-3</v>
      </c>
      <c r="U32" s="19">
        <f>('Question 5 (Data)'!U32-'Question 5 (Data)'!U31)/'Question 5 (Data)'!U31</f>
        <v>2.2831050228310826E-3</v>
      </c>
      <c r="V32" s="19">
        <f>('Question 5 (Data)'!V32-'Question 5 (Data)'!V31)/'Question 5 (Data)'!V31</f>
        <v>6.0539350577876877E-3</v>
      </c>
      <c r="W32" s="19">
        <f>('Question 5 (Data)'!W32-'Question 5 (Data)'!W31)/'Question 5 (Data)'!W31</f>
        <v>3.4364261168384554E-3</v>
      </c>
      <c r="X32" s="19">
        <f>('Question 5 (Data)'!X32-'Question 5 (Data)'!X31)/'Question 5 (Data)'!X31</f>
        <v>3.7837837837837222E-3</v>
      </c>
      <c r="Y32" s="19">
        <f>('Question 5 (Data)'!Y32-'Question 5 (Data)'!Y31)/'Question 5 (Data)'!Y31</f>
        <v>1.8237082066869992E-3</v>
      </c>
      <c r="Z32" s="19">
        <f>('Question 5 (Data)'!Z32-'Question 5 (Data)'!Z31)/'Question 5 (Data)'!Z31</f>
        <v>2.9291154071470417E-3</v>
      </c>
      <c r="AA32" s="19">
        <f>('Question 5 (Data)'!AA32-'Question 5 (Data)'!AA31)/'Question 5 (Data)'!AA31</f>
        <v>3.9682539682539038E-3</v>
      </c>
      <c r="AB32" s="19">
        <f>('Question 5 (Data)'!AB32-'Question 5 (Data)'!AB31)/'Question 5 (Data)'!AB31</f>
        <v>6.5217391304347207E-3</v>
      </c>
      <c r="AC32" s="19">
        <f>('Question 5 (Data)'!AC32-'Question 5 (Data)'!AC31)/'Question 5 (Data)'!AC31</f>
        <v>3.999999999999935E-3</v>
      </c>
      <c r="AD32" s="19">
        <f>('Question 5 (Data)'!AD32-'Question 5 (Data)'!AD31)/'Question 5 (Data)'!AD31</f>
        <v>5.614823133071308E-3</v>
      </c>
    </row>
    <row r="33" spans="1:30" ht="14.4" x14ac:dyDescent="0.3">
      <c r="A33" s="70"/>
      <c r="B33" s="70"/>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row>
    <row r="34" spans="1:30" ht="14.4" x14ac:dyDescent="0.3">
      <c r="A34" s="16" t="s">
        <v>105</v>
      </c>
      <c r="B34" s="70"/>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row>
    <row r="35" spans="1:30" ht="14.4" x14ac:dyDescent="0.3">
      <c r="A35" s="70"/>
      <c r="B35" s="70"/>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row>
    <row r="36" spans="1:30" ht="14.4" x14ac:dyDescent="0.3">
      <c r="A36" s="5" t="s">
        <v>75</v>
      </c>
      <c r="B36" s="1" t="s">
        <v>3</v>
      </c>
      <c r="C36" s="1" t="s">
        <v>4</v>
      </c>
      <c r="D36" s="1" t="s">
        <v>5</v>
      </c>
      <c r="E36" s="1" t="s">
        <v>6</v>
      </c>
      <c r="F36" s="1" t="s">
        <v>7</v>
      </c>
      <c r="G36" s="1" t="s">
        <v>8</v>
      </c>
      <c r="H36" s="1" t="s">
        <v>9</v>
      </c>
      <c r="I36" s="1" t="s">
        <v>10</v>
      </c>
      <c r="J36" s="1" t="s">
        <v>11</v>
      </c>
      <c r="K36" s="1" t="s">
        <v>12</v>
      </c>
      <c r="L36" s="1" t="s">
        <v>13</v>
      </c>
      <c r="M36" s="1" t="s">
        <v>14</v>
      </c>
      <c r="N36" s="1" t="s">
        <v>15</v>
      </c>
      <c r="O36" s="1" t="s">
        <v>16</v>
      </c>
      <c r="P36" s="1" t="s">
        <v>17</v>
      </c>
      <c r="Q36" s="1" t="s">
        <v>18</v>
      </c>
      <c r="R36" s="1" t="s">
        <v>19</v>
      </c>
      <c r="S36" s="1" t="s">
        <v>20</v>
      </c>
      <c r="T36" s="1" t="s">
        <v>21</v>
      </c>
      <c r="U36" s="1" t="s">
        <v>22</v>
      </c>
      <c r="V36" s="1" t="s">
        <v>23</v>
      </c>
      <c r="W36" s="1" t="s">
        <v>24</v>
      </c>
      <c r="X36" s="1" t="s">
        <v>25</v>
      </c>
      <c r="Y36" s="1" t="s">
        <v>26</v>
      </c>
      <c r="Z36" s="1" t="s">
        <v>27</v>
      </c>
      <c r="AA36" s="1" t="s">
        <v>28</v>
      </c>
      <c r="AB36" s="1" t="s">
        <v>29</v>
      </c>
    </row>
    <row r="37" spans="1:30" x14ac:dyDescent="0.25">
      <c r="A37" s="72" t="s">
        <v>106</v>
      </c>
      <c r="B37" s="73">
        <f>CORREL($C$5:$C$32,D5:D32)</f>
        <v>-0.23208570485951441</v>
      </c>
      <c r="C37" s="73">
        <f t="shared" ref="C37:AB37" si="0">CORREL($C$5:$C$32,E5:E32)</f>
        <v>0.4003986569354453</v>
      </c>
      <c r="D37" s="73">
        <f t="shared" si="0"/>
        <v>-0.23998504400382439</v>
      </c>
      <c r="E37" s="73">
        <f t="shared" si="0"/>
        <v>-0.25168850587365182</v>
      </c>
      <c r="F37" s="73">
        <f t="shared" si="0"/>
        <v>0.38408471152005791</v>
      </c>
      <c r="G37" s="73">
        <f t="shared" si="0"/>
        <v>6.4272417947217775E-2</v>
      </c>
      <c r="H37" s="73">
        <f t="shared" si="0"/>
        <v>3.3168319575856454E-2</v>
      </c>
      <c r="I37" s="73">
        <f t="shared" si="0"/>
        <v>-0.20816138495002007</v>
      </c>
      <c r="J37" s="73">
        <f t="shared" si="0"/>
        <v>-0.19252625494319398</v>
      </c>
      <c r="K37" s="73">
        <f t="shared" si="0"/>
        <v>-0.17360103328804261</v>
      </c>
      <c r="L37" s="73">
        <f t="shared" si="0"/>
        <v>0.17309443566486199</v>
      </c>
      <c r="M37" s="73">
        <f t="shared" si="0"/>
        <v>0.10062630984552842</v>
      </c>
      <c r="N37" s="73">
        <f t="shared" si="0"/>
        <v>9.1867615530791813E-2</v>
      </c>
      <c r="O37" s="73">
        <f t="shared" si="0"/>
        <v>0.15649436195618496</v>
      </c>
      <c r="P37" s="73">
        <f t="shared" si="0"/>
        <v>0.11275426022650155</v>
      </c>
      <c r="Q37" s="73">
        <f t="shared" si="0"/>
        <v>0.18390850522778038</v>
      </c>
      <c r="R37" s="73">
        <f t="shared" si="0"/>
        <v>0.13293294638046874</v>
      </c>
      <c r="S37" s="73">
        <f t="shared" si="0"/>
        <v>0.12728295485589869</v>
      </c>
      <c r="T37" s="73">
        <f t="shared" si="0"/>
        <v>0.11354468408955375</v>
      </c>
      <c r="U37" s="73">
        <f t="shared" si="0"/>
        <v>7.9623978958456784E-3</v>
      </c>
      <c r="V37" s="73">
        <f t="shared" si="0"/>
        <v>8.4041880477377484E-2</v>
      </c>
      <c r="W37" s="73">
        <f t="shared" si="0"/>
        <v>0.10651913852153348</v>
      </c>
      <c r="X37" s="73">
        <f t="shared" si="0"/>
        <v>0.13224565835359758</v>
      </c>
      <c r="Y37" s="73">
        <f t="shared" si="0"/>
        <v>-0.11721875756232679</v>
      </c>
      <c r="Z37" s="73">
        <f t="shared" si="0"/>
        <v>2.6520767473759421E-2</v>
      </c>
      <c r="AA37" s="73">
        <f t="shared" si="0"/>
        <v>9.4322616051216765E-2</v>
      </c>
      <c r="AB37" s="73">
        <f t="shared" si="0"/>
        <v>0.11800160298978171</v>
      </c>
      <c r="AC37" s="14"/>
      <c r="AD37" s="14"/>
    </row>
    <row r="39" spans="1:30" x14ac:dyDescent="0.25">
      <c r="B39" s="16"/>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524A-E18B-4434-B42C-62BACF0F2723}">
  <dimension ref="A1:AD3"/>
  <sheetViews>
    <sheetView showGridLines="0" tabSelected="1" zoomScale="86" zoomScaleNormal="80" workbookViewId="0">
      <selection activeCell="AD50" sqref="AD50"/>
    </sheetView>
  </sheetViews>
  <sheetFormatPr defaultRowHeight="13.8" x14ac:dyDescent="0.25"/>
  <cols>
    <col min="1" max="16384" width="8.88671875" style="74"/>
  </cols>
  <sheetData>
    <row r="1" spans="1:30" customFormat="1" ht="13.8" customHeight="1" x14ac:dyDescent="0.25">
      <c r="A1" s="76" t="s">
        <v>107</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row>
    <row r="2" spans="1:30" customFormat="1" ht="13.8" customHeight="1" x14ac:dyDescent="0.25">
      <c r="A2" s="76"/>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row>
    <row r="3" spans="1:30" customFormat="1" ht="13.8" customHeight="1" x14ac:dyDescent="0.25">
      <c r="A3" s="76"/>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row>
  </sheetData>
  <mergeCells count="1">
    <mergeCell ref="A1:AD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 </vt:lpstr>
      <vt:lpstr>Data Cleaning</vt:lpstr>
      <vt:lpstr>Data for R+U</vt:lpstr>
      <vt:lpstr> Broder Category Data </vt:lpstr>
      <vt:lpstr>Question 1</vt:lpstr>
      <vt:lpstr>Question 2</vt:lpstr>
      <vt:lpstr>Question 3(A)</vt:lpstr>
      <vt:lpstr>Question 3(B)</vt:lpstr>
      <vt:lpstr>Question 4 (Data)</vt:lpstr>
      <vt:lpstr>Question 4 Solution</vt:lpstr>
      <vt:lpstr>Question 5 (Data)</vt:lpstr>
      <vt:lpstr>Question 5 Solution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T</dc:creator>
  <cp:lastModifiedBy>N T</cp:lastModifiedBy>
  <dcterms:created xsi:type="dcterms:W3CDTF">2025-12-28T10:10:19Z</dcterms:created>
  <dcterms:modified xsi:type="dcterms:W3CDTF">2026-03-18T07:19:18Z</dcterms:modified>
</cp:coreProperties>
</file>